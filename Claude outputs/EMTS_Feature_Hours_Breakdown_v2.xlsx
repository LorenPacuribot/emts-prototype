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imeline &amp; Cost" sheetId="2" state="visible" r:id="rId4"/>
    <sheet name="Hours Breakdown" sheetId="3" state="visible" r:id="rId5"/>
    <sheet name="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<sst xmlns="http://schemas.openxmlformats.org/spreadsheetml/2006/main" count="1257" uniqueCount="697">
  <si>
    <t xml:space="preserve">Estimate Master — New Features: Hours Summary</t>
  </si>
  <si>
    <t xml:space="preserve">Totals update from the Hours Breakdown sheet. Change Include? there to test a smaller scope.</t>
  </si>
  <si>
    <t xml:space="preserve">Hours filled 30 Sep 2026 as a planning estimate (±20%) for dev-lead review. Status column updated: all 14 features are now in the clickable prototype.</t>
  </si>
  <si>
    <t xml:space="preserve">Feature</t>
  </si>
  <si>
    <t xml:space="preserve">Name</t>
  </si>
  <si>
    <t xml:space="preserve">Depends on</t>
  </si>
  <si>
    <t xml:space="preserve">Core hours</t>
  </si>
  <si>
    <t xml:space="preserve">Optional hours</t>
  </si>
  <si>
    <t xml:space="preserve">Full scope</t>
  </si>
  <si>
    <t xml:space="preserve">Selected hours</t>
  </si>
  <si>
    <t xml:space="preserve">Hours saved</t>
  </si>
  <si>
    <t xml:space="preserve">Prototype status</t>
  </si>
  <si>
    <t xml:space="preserve">Build wave</t>
  </si>
  <si>
    <t xml:space="preserve">Project-Specific Color Card</t>
  </si>
  <si>
    <t xml:space="preserve">—</t>
  </si>
  <si>
    <t xml:space="preserve">In prototype</t>
  </si>
  <si>
    <t xml:space="preserve">Wave 1</t>
  </si>
  <si>
    <t xml:space="preserve">Material Calculation And Order Generation</t>
  </si>
  <si>
    <t xml:space="preserve">3</t>
  </si>
  <si>
    <t xml:space="preserve">Supplier Integration</t>
  </si>
  <si>
    <t xml:space="preserve">18</t>
  </si>
  <si>
    <t xml:space="preserve">Estimated Versus Actual Performance</t>
  </si>
  <si>
    <t xml:space="preserve">22, 24, 33</t>
  </si>
  <si>
    <t xml:space="preserve">Wave 4</t>
  </si>
  <si>
    <t xml:space="preserve">Employee Hours And Payroll</t>
  </si>
  <si>
    <t xml:space="preserve">Wave 3</t>
  </si>
  <si>
    <t xml:space="preserve">Change Orders And Additional Work</t>
  </si>
  <si>
    <t xml:space="preserve">3, 18</t>
  </si>
  <si>
    <t xml:space="preserve">Historical Property Paint Record</t>
  </si>
  <si>
    <t xml:space="preserve">Wave 2</t>
  </si>
  <si>
    <t xml:space="preserve">Customer QR Paint Record</t>
  </si>
  <si>
    <t xml:space="preserve">25</t>
  </si>
  <si>
    <t xml:space="preserve">Paint Life And Automated Repainting Alerts</t>
  </si>
  <si>
    <t xml:space="preserve">Future Estimating And Reordering</t>
  </si>
  <si>
    <t xml:space="preserve">Repainting Follow-Up Workflow</t>
  </si>
  <si>
    <t xml:space="preserve">27</t>
  </si>
  <si>
    <t xml:space="preserve">Estimating Performance Feedback</t>
  </si>
  <si>
    <t xml:space="preserve">21, 22</t>
  </si>
  <si>
    <t xml:space="preserve">Financial And Accounting Management</t>
  </si>
  <si>
    <t xml:space="preserve">18, 19, 22</t>
  </si>
  <si>
    <t xml:space="preserve">Social Media And Marketing Management</t>
  </si>
  <si>
    <t xml:space="preserve">Total, all 14 features</t>
  </si>
  <si>
    <t xml:space="preserve">How to read this</t>
  </si>
  <si>
    <t xml:space="preserve">Core hours: the minimum build that makes the feature work as the design intends. These rows cannot be removed.</t>
  </si>
  <si>
    <t xml:space="preserve">Optional hours: functions the client can leave out. Each feature still works without them; the 'If left out' column says what changes.</t>
  </si>
  <si>
    <t xml:space="preserve">Selected hours: the hours for the current choices on the Hours Breakdown sheet. Hours saved = Full scope minus Selected.</t>
  </si>
  <si>
    <t xml:space="preserve">Depends on: features that should be built first, or whose data this feature uses. Removing a whole feature affects the features that depend on it.</t>
  </si>
  <si>
    <t xml:space="preserve">Prototype status: whether the feature is in the clickable prototype. It does not mean the production build has started.</t>
  </si>
  <si>
    <t xml:space="preserve">Recommended add-ons (not in the 14 — client to confirm)</t>
  </si>
  <si>
    <t xml:space="preserve">Full hours</t>
  </si>
  <si>
    <t xml:space="preserve">Status</t>
  </si>
  <si>
    <t xml:space="preserve">Changing Labor Requirements</t>
  </si>
  <si>
    <t xml:space="preserve">14 (live scheduler)</t>
  </si>
  <si>
    <t xml:space="preserve">Not in prototype</t>
  </si>
  <si>
    <t xml:space="preserve">Weather And Production Disruptions</t>
  </si>
  <si>
    <t xml:space="preserve">14</t>
  </si>
  <si>
    <t xml:space="preserve">Partly in prototype</t>
  </si>
  <si>
    <t xml:space="preserve">Protected Jobs And Leapfrog Rescheduling</t>
  </si>
  <si>
    <t xml:space="preserve">16</t>
  </si>
  <si>
    <t xml:space="preserve">Production And Actual Project Record</t>
  </si>
  <si>
    <t xml:space="preserve">13, 22</t>
  </si>
  <si>
    <t xml:space="preserve">Total, add-ons</t>
  </si>
  <si>
    <t xml:space="preserve">GRAND TOTAL development hours (14 features + selected add-ons)</t>
  </si>
  <si>
    <t xml:space="preserve">Estimate Master — Delivery Timeline and Cost</t>
  </si>
  <si>
    <t xml:space="preserve">Blue text in yellow cells = inputs you can change. Everything else is calculated from the Summary sheet.</t>
  </si>
  <si>
    <t xml:space="preserve">Inputs</t>
  </si>
  <si>
    <t xml:space="preserve">Kickoff date (after approval + signed SOW)</t>
  </si>
  <si>
    <t xml:space="preserve">Developers on the build</t>
  </si>
  <si>
    <t xml:space="preserve">Productive dev hours per developer per week</t>
  </si>
  <si>
    <t xml:space="preserve">QA effort (% of dev hours)</t>
  </si>
  <si>
    <t xml:space="preserve">Project management (% of dev hours)</t>
  </si>
  <si>
    <t xml:space="preserve">UAT, deployment and handover (fixed hours)</t>
  </si>
  <si>
    <t xml:space="preserve">UAT window after the last wave (weeks)</t>
  </si>
  <si>
    <t xml:space="preserve">Blended hourly rate (USD) — enter before quoting</t>
  </si>
  <si>
    <t xml:space="preserve">Leave blank until the rate is agreed; cost cells show "Enter rate".</t>
  </si>
  <si>
    <t xml:space="preserve">Team capacity (dev hours per week)</t>
  </si>
  <si>
    <t xml:space="preserve">Wave</t>
  </si>
  <si>
    <t xml:space="preserve">Features</t>
  </si>
  <si>
    <t xml:space="preserve">What the client gets</t>
  </si>
  <si>
    <t xml:space="preserve">Dev hours (selected)</t>
  </si>
  <si>
    <t xml:space="preserve">QA + PM hours</t>
  </si>
  <si>
    <t xml:space="preserve">Total hours</t>
  </si>
  <si>
    <t xml:space="preserve">Weeks</t>
  </si>
  <si>
    <t xml:space="preserve">Start</t>
  </si>
  <si>
    <t xml:space="preserve">End</t>
  </si>
  <si>
    <t xml:space="preserve">Cost (USD)</t>
  </si>
  <si>
    <t xml:space="preserve">3, 18, 19, 24 (+15, 16, 17 if added)</t>
  </si>
  <si>
    <t xml:space="preserve">Paint spec → purchase orders → supplier → change orders</t>
  </si>
  <si>
    <t xml:space="preserve">25, 26, 27, 28, 29 (+20 if added)</t>
  </si>
  <si>
    <t xml:space="preserve">Property paint record, customer QR, repaint alerts, repeat estimates, follow-ups</t>
  </si>
  <si>
    <t xml:space="preserve">22, 33</t>
  </si>
  <si>
    <t xml:space="preserve">Crew clock, timesheets &amp; Gusto export; QuickBooks finance</t>
  </si>
  <si>
    <t xml:space="preserve">21, 30, 34</t>
  </si>
  <si>
    <t xml:space="preserve">Estimated vs actual, rate feedback, social media &amp; website leads</t>
  </si>
  <si>
    <t xml:space="preserve">UAT &amp; go-live</t>
  </si>
  <si>
    <t xml:space="preserve">Client testing, fixes, deployment, training &amp; handover</t>
  </si>
  <si>
    <t xml:space="preserve">TOTAL</t>
  </si>
  <si>
    <t xml:space="preserve">Check: dev hours here equal the Summary grand total</t>
  </si>
  <si>
    <t xml:space="preserve">Scenarios for the client (dev hours, before QA/PM/UAT)</t>
  </si>
  <si>
    <t xml:space="preserve">Option</t>
  </si>
  <si>
    <t xml:space="preserve">Scope</t>
  </si>
  <si>
    <t xml:space="preserve">Dev hours</t>
  </si>
  <si>
    <t xml:space="preserve">Build weeks (at current team)</t>
  </si>
  <si>
    <t xml:space="preserve">Cost (USD, incl. QA/PM/UAT)</t>
  </si>
  <si>
    <t xml:space="preserve">A — Full scope</t>
  </si>
  <si>
    <t xml:space="preserve">All 14 features, core + all optional functions</t>
  </si>
  <si>
    <t xml:space="preserve">B — Core first</t>
  </si>
  <si>
    <t xml:space="preserve">All 14 features, core functions only (optionals can be added later)</t>
  </si>
  <si>
    <t xml:space="preserve">C — Wave 1 + 2 only</t>
  </si>
  <si>
    <t xml:space="preserve">Sell, buy, change and remember the paint (3, 18, 19, 24–29), selected functions</t>
  </si>
  <si>
    <t xml:space="preserve">D — Not yet</t>
  </si>
  <si>
    <t xml:space="preserve">Pause (0 h, prices held 60 days) or a paid discovery sprint (~40 h: finalise answers, dev-lead review, fixed quote)</t>
  </si>
  <si>
    <t xml:space="preserve">Build weeks include the UAT window. Weekly Wednesday progress demos run through every wave.</t>
  </si>
  <si>
    <t xml:space="preserve">Estimate Master — Hours Breakdown by Feature</t>
  </si>
  <si>
    <t xml:space="preserve">Set Include? to No on any Optional row to see the hours saved. Core rows cannot be removed without breaking the feature.</t>
  </si>
  <si>
    <t xml:space="preserve">Feature 3 — Project-Specific Color Card</t>
  </si>
  <si>
    <t xml:space="preserve">Ref</t>
  </si>
  <si>
    <t xml:space="preserve">Functionality</t>
  </si>
  <si>
    <t xml:space="preserve">Deliverable</t>
  </si>
  <si>
    <t xml:space="preserve">Type</t>
  </si>
  <si>
    <t xml:space="preserve">If left out</t>
  </si>
  <si>
    <t xml:space="preserve">Hours</t>
  </si>
  <si>
    <t xml:space="preserve">Include?</t>
  </si>
  <si>
    <t xml:space="preserve">3.1</t>
  </si>
  <si>
    <t xml:space="preserve">Colour list and card versions</t>
  </si>
  <si>
    <t xml:space="preserve">Job Color Card tab listing each colour with its specifications, state badges and read-only earlier versions</t>
  </si>
  <si>
    <t xml:space="preserve">Core</t>
  </si>
  <si>
    <t xml:space="preserve">Required. The feature does not work without it.</t>
  </si>
  <si>
    <t xml:space="preserve">Yes</t>
  </si>
  <si>
    <t xml:space="preserve">3.2</t>
  </si>
  <si>
    <t xml:space="preserve">Specification editor</t>
  </si>
  <si>
    <t xml:space="preserve">Form for sheen, coats, primer, coat sequence, surfaces, lifespan default and ordering fields, with all save and approval validations</t>
  </si>
  <si>
    <t xml:space="preserve">3.3</t>
  </si>
  <si>
    <t xml:space="preserve">Approval and evidence</t>
  </si>
  <si>
    <t xml:space="preserve">Send selected specifications for approval, record the customer's reply (including partial approval) and store the evidence; a new version never inherits a signature</t>
  </si>
  <si>
    <t xml:space="preserve">3.4</t>
  </si>
  <si>
    <t xml:space="preserve">Signed-job change check (Rule 1)</t>
  </si>
  <si>
    <t xml:space="preserve">Decides whether a change needs office approval, a Colour Re-approval or a priced change order; flags linked orders and names who calls the store</t>
  </si>
  <si>
    <t xml:space="preserve">3.5</t>
  </si>
  <si>
    <t xml:space="preserve">Access rules and activity log</t>
  </si>
  <si>
    <t xml:space="preserve">Role checks for editing, lifespan locks and completed jobs; every change and blocked attempt logged</t>
  </si>
  <si>
    <t xml:space="preserve">3.6</t>
  </si>
  <si>
    <t xml:space="preserve">Custom sample tracker</t>
  </si>
  <si>
    <t xml:space="preserve">Sample rounds with date, deliverer, outcome and photo; rejected rounds kept permanently</t>
  </si>
  <si>
    <t xml:space="preserve">Optional</t>
  </si>
  <si>
    <t xml:space="preserve">Custom colour matches are tracked outside the system. The colour stays in draft until someone approves it manually.</t>
  </si>
  <si>
    <t xml:space="preserve">3.7</t>
  </si>
  <si>
    <t xml:space="preserve">Crew card and customer card printouts</t>
  </si>
  <si>
    <t xml:space="preserve">Two print/PDF layouts: crew card by room, customer card with swatch, name, sheen and location only</t>
  </si>
  <si>
    <t xml:space="preserve">Crew and customer read the card on screen. No paper copy is produced.</t>
  </si>
  <si>
    <t xml:space="preserve">3.8</t>
  </si>
  <si>
    <t xml:space="preserve">CSV export of specifications</t>
  </si>
  <si>
    <t xml:space="preserve">One-click CSV of the specification list</t>
  </si>
  <si>
    <t xml:space="preserve">No spreadsheet export. Data stays viewable on screen.</t>
  </si>
  <si>
    <t xml:space="preserve">3.9</t>
  </si>
  <si>
    <t xml:space="preserve">Two-editor conflict check</t>
  </si>
  <si>
    <t xml:space="preserve">The second conflicting save fails with a reload prompt instead of overwriting the first</t>
  </si>
  <si>
    <t xml:space="preserve">The last save wins. Low risk for a small team, but one person's edit can be overwritten.</t>
  </si>
  <si>
    <t xml:space="preserve">Core hours (required)</t>
  </si>
  <si>
    <t xml:space="preserve">Optional hours (full list)</t>
  </si>
  <si>
    <t xml:space="preserve">Selected hours for this feature</t>
  </si>
  <si>
    <t xml:space="preserve">Feature 18 — Material Calculation And Order Generation</t>
  </si>
  <si>
    <t xml:space="preserve">18.1</t>
  </si>
  <si>
    <t xml:space="preserve">Demand calculation</t>
  </si>
  <si>
    <t xml:space="preserve">Paint and primer need per coat and surface condition, with coverage precedence (override, field rate, manufacturer) shown on screen</t>
  </si>
  <si>
    <t xml:space="preserve">18.2</t>
  </si>
  <si>
    <t xml:space="preserve">Waste and container packing</t>
  </si>
  <si>
    <t xml:space="preserve">Highest-matching waste allowance, rounding once to 3 decimals, packing into available quart / gallon / 5-gallon sizes</t>
  </si>
  <si>
    <t xml:space="preserve">18.3</t>
  </si>
  <si>
    <t xml:space="preserve">Quantity state panel (Rule 2)</t>
  </si>
  <si>
    <t xml:space="preserve">Calculated, sent, acknowledged, received, outstanding and orderable-now figures from one formula</t>
  </si>
  <si>
    <t xml:space="preserve">18.4</t>
  </si>
  <si>
    <t xml:space="preserve">Purchase order generation and approval</t>
  </si>
  <si>
    <t xml:space="preserve">Numbered POs (JOB-PO-01), $1,500 estimator and $3,000 owner limits, double-click protection, prices hidden from estimators, PO PDF</t>
  </si>
  <si>
    <t xml:space="preserve">18.5</t>
  </si>
  <si>
    <t xml:space="preserve">Receiving and over-receipt routing</t>
  </si>
  <si>
    <t xml:space="preserve">Record received quantities; up to 10% over goes to job cost, above that to shelf stock, with office approval</t>
  </si>
  <si>
    <t xml:space="preserve">18.6</t>
  </si>
  <si>
    <t xml:space="preserve">Leftover shelf stock</t>
  </si>
  <si>
    <t xml:space="preserve">Match sealed stock under two years old, physical confirmation, job reservation and transfers between jobs</t>
  </si>
  <si>
    <t xml:space="preserve">All paint is bought new. Leftover paint is tracked outside the system.</t>
  </si>
  <si>
    <t xml:space="preserve">18.7</t>
  </si>
  <si>
    <t xml:space="preserve">Estimator quantity adjustments</t>
  </si>
  <si>
    <t xml:space="preserve">±10% self-approved adjustments with a note; larger or from-zero changes wait for owner or office approval</t>
  </si>
  <si>
    <t xml:space="preserve">Only the office manager or owner can change calculated quantities.</t>
  </si>
  <si>
    <t xml:space="preserve">18.8</t>
  </si>
  <si>
    <t xml:space="preserve">Consumables allowance</t>
  </si>
  <si>
    <t xml:space="preserve">Separate allowance line ($35 / $55 per room, $150 + $25 per 1,000 sq ft exterior)</t>
  </si>
  <si>
    <t xml:space="preserve">Consumables are added to orders by hand.</t>
  </si>
  <si>
    <t xml:space="preserve">18.9</t>
  </si>
  <si>
    <t xml:space="preserve">Equipment rental lines</t>
  </si>
  <si>
    <t xml:space="preserve">Manual rental rows kept apart from measured demand</t>
  </si>
  <si>
    <t xml:space="preserve">Rentals are ordered and costed outside the system.</t>
  </si>
  <si>
    <t xml:space="preserve">18.10</t>
  </si>
  <si>
    <t xml:space="preserve">Preliminary shopping list</t>
  </si>
  <si>
    <t xml:space="preserve">Labelled list for unsigned jobs with no PO number and no supplier submission</t>
  </si>
  <si>
    <t xml:space="preserve">No shopping list until the job is signed.</t>
  </si>
  <si>
    <t xml:space="preserve">18.11</t>
  </si>
  <si>
    <t xml:space="preserve">Changed-since-estimate warning</t>
  </si>
  <si>
    <t xml:space="preserve">Warns when coverage or cost changed after approval and shows both figures to permitted roles</t>
  </si>
  <si>
    <t xml:space="preserve">Price or coverage drift is only seen when someone compares manually.</t>
  </si>
  <si>
    <t xml:space="preserve">18.12</t>
  </si>
  <si>
    <t xml:space="preserve">Lowest-price packing option and CSV export</t>
  </si>
  <si>
    <t xml:space="preserve">Office can switch packing to lowest price; CSV export with restricted columns</t>
  </si>
  <si>
    <t xml:space="preserve">Packing always uses least leftover. PO is available as PDF only.</t>
  </si>
  <si>
    <t xml:space="preserve">Feature 19 — Supplier Integration</t>
  </si>
  <si>
    <t xml:space="preserve">19.1</t>
  </si>
  <si>
    <t xml:space="preserve">Supplier and branch setup</t>
  </si>
  <si>
    <t xml:space="preserve">Two Sherwin-Williams branch profiles (name, store no., account no., phone); account numbers restricted</t>
  </si>
  <si>
    <t xml:space="preserve">19.2</t>
  </si>
  <si>
    <t xml:space="preserve">Order submission with evidence</t>
  </si>
  <si>
    <t xml:space="preserve">Deliberate destination confirmation; send by print, email or phone with the required evidence for each channel</t>
  </si>
  <si>
    <t xml:space="preserve">19.3</t>
  </si>
  <si>
    <t xml:space="preserve">Status tracking per order and line</t>
  </si>
  <si>
    <t xml:space="preserve">Sent, Acknowledged, Ready, Picked up, Partially filled, Problem; unfamiliar supplier text kept word for word</t>
  </si>
  <si>
    <t xml:space="preserve">19.4</t>
  </si>
  <si>
    <t xml:space="preserve">Acknowledgment clock and exception list</t>
  </si>
  <si>
    <t xml:space="preserve">4-working-hour clock (Mon–Fri 7–4, holidays excluded), escalation from sender to office manager to owner</t>
  </si>
  <si>
    <t xml:space="preserve">19.5</t>
  </si>
  <si>
    <t xml:space="preserve">Product mapping to store item codes</t>
  </si>
  <si>
    <t xml:space="preserve">Map products, units and pack sizes to store codes, including colour number and tint formula</t>
  </si>
  <si>
    <t xml:space="preserve">Orders use the readable specification text, which the spec allows for manual orders.</t>
  </si>
  <si>
    <t xml:space="preserve">19.6</t>
  </si>
  <si>
    <t xml:space="preserve">Uncertain-send and resend control</t>
  </si>
  <si>
    <t xml:space="preserve">Resend blocked until a branch confirmation call is recorded; original reference kept</t>
  </si>
  <si>
    <t xml:space="preserve">Staff follow a written rule to call the branch before resending. The system does not enforce it.</t>
  </si>
  <si>
    <t xml:space="preserve">19.7</t>
  </si>
  <si>
    <t xml:space="preserve">Delivery date change approvals</t>
  </si>
  <si>
    <t xml:space="preserve">Up to 3 days office manager, more than 3 days owner, with original and revised dates recorded</t>
  </si>
  <si>
    <t xml:space="preserve">Date changes are agreed by phone and edited directly.</t>
  </si>
  <si>
    <t xml:space="preserve">19.8</t>
  </si>
  <si>
    <t xml:space="preserve">Replacement and substitution approvals</t>
  </si>
  <si>
    <t xml:space="preserve">Rule 1 check plus the 10% line and $200 order-total owner thresholds</t>
  </si>
  <si>
    <t xml:space="preserve">Substitutions are handled by cancelling the line and raising a change order when needed.</t>
  </si>
  <si>
    <t xml:space="preserve">19.9</t>
  </si>
  <si>
    <t xml:space="preserve">Returns and credits</t>
  </si>
  <si>
    <t xml:space="preserve">Return untinted product with credit linked to the order and job; tinted paint blocked as non-returnable</t>
  </si>
  <si>
    <t xml:space="preserve">Returns and credits are handled in accounting only.</t>
  </si>
  <si>
    <t xml:space="preserve">Feature 21 — Estimated Versus Actual Performance</t>
  </si>
  <si>
    <t xml:space="preserve">21.1</t>
  </si>
  <si>
    <t xml:space="preserve">Filter and period bar</t>
  </si>
  <si>
    <t xml:space="preserve">Period, dimension (job, estimator, crew lead, interior/exterior), work-date basis in local timezone</t>
  </si>
  <si>
    <t xml:space="preserve">21.2</t>
  </si>
  <si>
    <t xml:space="preserve">Comparison grid</t>
  </si>
  <si>
    <t xml:space="preserve">Original approved, approved change contribution, revised approved, actual, variance amount and %, Over / Under budget label</t>
  </si>
  <si>
    <t xml:space="preserve">21.3</t>
  </si>
  <si>
    <t xml:space="preserve">Drill-down and role restrictions</t>
  </si>
  <si>
    <t xml:space="preserve">Cost categories allowed for the user's role, linked to source records</t>
  </si>
  <si>
    <t xml:space="preserve">21.4</t>
  </si>
  <si>
    <t xml:space="preserve">Incomplete jobs and pending hours</t>
  </si>
  <si>
    <t xml:space="preserve">Separate grid for incomplete jobs and a pending column kept apart from the main totals</t>
  </si>
  <si>
    <t xml:space="preserve">Only completed jobs appear. Pending hours are not shown.</t>
  </si>
  <si>
    <t xml:space="preserve">21.5</t>
  </si>
  <si>
    <t xml:space="preserve">Variance reason codes</t>
  </si>
  <si>
    <t xml:space="preserve">Reason code per row</t>
  </si>
  <si>
    <t xml:space="preserve">Reasons for variance are discussed outside the report.</t>
  </si>
  <si>
    <t xml:space="preserve">21.6</t>
  </si>
  <si>
    <t xml:space="preserve">Saved filters</t>
  </si>
  <si>
    <t xml:space="preserve">Save and reuse filter settings</t>
  </si>
  <si>
    <t xml:space="preserve">Filters are set each time.</t>
  </si>
  <si>
    <t xml:space="preserve">21.7</t>
  </si>
  <si>
    <t xml:space="preserve">Issued snapshots</t>
  </si>
  <si>
    <t xml:space="preserve">Permanent issued reports that can be found later</t>
  </si>
  <si>
    <t xml:space="preserve">The report is always live. Numbers quoted in a meeting can change later.</t>
  </si>
  <si>
    <t xml:space="preserve">21.8</t>
  </si>
  <si>
    <t xml:space="preserve">Weekly Monday summary</t>
  </si>
  <si>
    <t xml:space="preserve">Automatic 7 a.m. Monday summary to owner, office manager and estimating manager</t>
  </si>
  <si>
    <t xml:space="preserve">Managers open the report themselves.</t>
  </si>
  <si>
    <t xml:space="preserve">21.9</t>
  </si>
  <si>
    <t xml:space="preserve">PDF and CSV export</t>
  </si>
  <si>
    <t xml:space="preserve">Export of the grid</t>
  </si>
  <si>
    <t xml:space="preserve">Report is viewed on screen only.</t>
  </si>
  <si>
    <t xml:space="preserve">Feature 22 — Employee Hours And Payroll</t>
  </si>
  <si>
    <t xml:space="preserve">22.1</t>
  </si>
  <si>
    <t xml:space="preserve">Mobile clock</t>
  </si>
  <si>
    <t xml:space="preserve">Crew lead clocks crew in and out per job, job changes, lunch deduction and rounding rule</t>
  </si>
  <si>
    <t xml:space="preserve">22.2</t>
  </si>
  <si>
    <t xml:space="preserve">Offline punches and conflict flags</t>
  </si>
  <si>
    <t xml:space="preserve">Punches queue with no signal and sync later; duplicates, missing time and conflicts flagged</t>
  </si>
  <si>
    <t xml:space="preserve">22.3</t>
  </si>
  <si>
    <t xml:space="preserve">Timesheet review and approval</t>
  </si>
  <si>
    <t xml:space="preserve">Office grid per employee per day; approval with no self-approval</t>
  </si>
  <si>
    <t xml:space="preserve">22.4</t>
  </si>
  <si>
    <t xml:space="preserve">Export batch to Gusto</t>
  </si>
  <si>
    <t xml:space="preserve">Batch locks its entries; approved-time CSV in the bookkeeper's Gusto mapping; double-payment protection</t>
  </si>
  <si>
    <t xml:space="preserve">22.5</t>
  </si>
  <si>
    <t xml:space="preserve">Labour cost entry and job allocation (Rule 3)</t>
  </si>
  <si>
    <t xml:space="preserve">Bookkeeper enters cost totals per employee per period; allocated to jobs by approved hours; remainders by Rule 5</t>
  </si>
  <si>
    <t xml:space="preserve">22.6</t>
  </si>
  <si>
    <t xml:space="preserve">Employee attestation and disputes</t>
  </si>
  <si>
    <t xml:space="preserve">Employee attests own day; dispute routing with deadlines</t>
  </si>
  <si>
    <t xml:space="preserve">Office approves without employee sign-off. Disputes are handled by phone. Check the state work-rule register first.</t>
  </si>
  <si>
    <t xml:space="preserve">22.7</t>
  </si>
  <si>
    <t xml:space="preserve">Activity codes</t>
  </si>
  <si>
    <t xml:space="preserve">Travel, shop, setup, training and rained-out time codes</t>
  </si>
  <si>
    <t xml:space="preserve">All time is recorded as job time.</t>
  </si>
  <si>
    <t xml:space="preserve">22.8</t>
  </si>
  <si>
    <t xml:space="preserve">Location capture</t>
  </si>
  <si>
    <t xml:space="preserve">Location on punch with a denied-location flag</t>
  </si>
  <si>
    <t xml:space="preserve">No location evidence on punches.</t>
  </si>
  <si>
    <t xml:space="preserve">22.9</t>
  </si>
  <si>
    <t xml:space="preserve">Mileage claims</t>
  </si>
  <si>
    <t xml:space="preserve">Evidence-backed mileage at the current IRS rate</t>
  </si>
  <si>
    <t xml:space="preserve">Mileage is claimed through the existing expense process.</t>
  </si>
  <si>
    <t xml:space="preserve">22.10</t>
  </si>
  <si>
    <t xml:space="preserve">Provider results and correction batches</t>
  </si>
  <si>
    <t xml:space="preserve">Per-employee Gusto results; rejected lines corrected into a new small batch</t>
  </si>
  <si>
    <t xml:space="preserve">Rejected lines are fixed directly in Gusto.</t>
  </si>
  <si>
    <t xml:space="preserve">Feature 24 — Change Orders And Additional Work</t>
  </si>
  <si>
    <t xml:space="preserve">24.1</t>
  </si>
  <si>
    <t xml:space="preserve">Change order builder and pricing</t>
  </si>
  <si>
    <t xml:space="preserve">Six change types; incremental lines only; original markup, tax rate on the CO date, half-up rounding</t>
  </si>
  <si>
    <t xml:space="preserve">24.2</t>
  </si>
  <si>
    <t xml:space="preserve">Internal approval</t>
  </si>
  <si>
    <t xml:space="preserve">Owner approves gross additions over $2,000 and every credit; no inherited discount without owner</t>
  </si>
  <si>
    <t xml:space="preserve">24.3</t>
  </si>
  <si>
    <t xml:space="preserve">Customer approval</t>
  </si>
  <si>
    <t xml:space="preserve">Recipient checked against the customer record, person-triggered send, whole-CO approve or reject with signer and evidence</t>
  </si>
  <si>
    <t xml:space="preserve">24.4</t>
  </si>
  <si>
    <t xml:space="preserve">Downstream updates and billing</t>
  </si>
  <si>
    <t xml:space="preserve">Work order, material demand, scheduler task and billing action; supplemental invoices and credit notes</t>
  </si>
  <si>
    <t xml:space="preserve">24.5</t>
  </si>
  <si>
    <t xml:space="preserve">Approval links with expiry</t>
  </si>
  <si>
    <t xml:space="preserve">30-day links, superseded links blocked with an explanation, new link when the signer changes</t>
  </si>
  <si>
    <t xml:space="preserve">Change orders are sent as a PDF by email and the written reply is stored as evidence.</t>
  </si>
  <si>
    <t xml:space="preserve">24.6</t>
  </si>
  <si>
    <t xml:space="preserve">Parent and child change orders</t>
  </si>
  <si>
    <t xml:space="preserve">Child can be drafted but not sent until the parent is resolved; repriced if parent rejected</t>
  </si>
  <si>
    <t xml:space="preserve">Staff wait for one change order to resolve before drafting the next.</t>
  </si>
  <si>
    <t xml:space="preserve">24.7</t>
  </si>
  <si>
    <t xml:space="preserve">Emergency work</t>
  </si>
  <si>
    <t xml:space="preserve">Verbal approval under $500 with photos, findings, authoriser, 2-working-day confirmation and escalation</t>
  </si>
  <si>
    <t xml:space="preserve">No emergency path. All work waits for written approval.</t>
  </si>
  <si>
    <t xml:space="preserve">24.8</t>
  </si>
  <si>
    <t xml:space="preserve">Disputed work and refunds</t>
  </si>
  <si>
    <t xml:space="preserve">Disputed state referred to owner; account credit by default, 14-day refund window</t>
  </si>
  <si>
    <t xml:space="preserve">Disputes and refunds are handled outside the system.</t>
  </si>
  <si>
    <t xml:space="preserve">24.9</t>
  </si>
  <si>
    <t xml:space="preserve">Deposit review trigger</t>
  </si>
  <si>
    <t xml:space="preserve">Flags when signed net changes exceed 25% of the original contract; revised deposit target</t>
  </si>
  <si>
    <t xml:space="preserve">Office checks deposits manually on large changes.</t>
  </si>
  <si>
    <t xml:space="preserve">24.10</t>
  </si>
  <si>
    <t xml:space="preserve">Daily exception list and retry</t>
  </si>
  <si>
    <t xml:space="preserve">7 a.m. list of failed downstream actions with retry of missing actions only</t>
  </si>
  <si>
    <t xml:space="preserve">Failed updates are found by checking each change order.</t>
  </si>
  <si>
    <t xml:space="preserve">24.11</t>
  </si>
  <si>
    <t xml:space="preserve">Customer presentation and print</t>
  </si>
  <si>
    <t xml:space="preserve">Customer view of the change and revised total; printable document</t>
  </si>
  <si>
    <t xml:space="preserve">Customer sees the emailed PDF only.</t>
  </si>
  <si>
    <t xml:space="preserve">Feature 25 — Historical Property Paint Record</t>
  </si>
  <si>
    <t xml:space="preserve">25.1</t>
  </si>
  <si>
    <t xml:space="preserve">Property structure and surface tree</t>
  </si>
  <si>
    <t xml:space="preserve">Stable property ID; building / unit, room or elevation, surface; address fixes never detach jobs</t>
  </si>
  <si>
    <t xml:space="preserve">25.2</t>
  </si>
  <si>
    <t xml:space="preserve">Closeout confirmation</t>
  </si>
  <si>
    <t xml:space="preserve">Crew lead confirms colour, sheen, coats and completion date per surface; office closes the job; missing actuals labelled Not recorded</t>
  </si>
  <si>
    <t xml:space="preserve">25.3</t>
  </si>
  <si>
    <t xml:space="preserve">Application timeline</t>
  </si>
  <si>
    <t xml:space="preserve">Newest-first history per surface with Confirmed / Unverified badges; touch-ups logged on the same application</t>
  </si>
  <si>
    <t xml:space="preserve">25.4</t>
  </si>
  <si>
    <t xml:space="preserve">Post-close corrections</t>
  </si>
  <si>
    <t xml:space="preserve">Owner or office manager corrections with old value, new value, author, date and reason</t>
  </si>
  <si>
    <t xml:space="preserve">25.5</t>
  </si>
  <si>
    <t xml:space="preserve">Search, staff view and customer view</t>
  </si>
  <si>
    <t xml:space="preserve">Search by address, customer or colour; hours and costs staff-only</t>
  </si>
  <si>
    <t xml:space="preserve">25.6</t>
  </si>
  <si>
    <t xml:space="preserve">Correction notices to the customer</t>
  </si>
  <si>
    <t xml:space="preserve">Notice when colour, product, sheen, coats or location changes; a person presses send</t>
  </si>
  <si>
    <t xml:space="preserve">Customers are not told about corrections.</t>
  </si>
  <si>
    <t xml:space="preserve">25.7</t>
  </si>
  <si>
    <t xml:space="preserve">Removed surfaces and third-party work</t>
  </si>
  <si>
    <t xml:space="preserve">Mark surfaces removed with a date; log customer-reported work as Unverified</t>
  </si>
  <si>
    <t xml:space="preserve">Removed surfaces stay listed. Work by other contractors is not recorded.</t>
  </si>
  <si>
    <t xml:space="preserve">25.8</t>
  </si>
  <si>
    <t xml:space="preserve">Photos and evidence panel</t>
  </si>
  <si>
    <t xml:space="preserve">Photos, tint formula and product data sheet link (staff-only)</t>
  </si>
  <si>
    <t xml:space="preserve">History holds text facts only.</t>
  </si>
  <si>
    <t xml:space="preserve">25.9</t>
  </si>
  <si>
    <t xml:space="preserve">Ownership change handling</t>
  </si>
  <si>
    <t xml:space="preserve">Record a sale, end the old ownership period, keep history scoped to each owner</t>
  </si>
  <si>
    <t xml:space="preserve">Needed if Feature 26 is kept. Without it, a sale is handled by the office by hand.</t>
  </si>
  <si>
    <t xml:space="preserve">25.10</t>
  </si>
  <si>
    <t xml:space="preserve">Predecessor consent and unreachable sellers</t>
  </si>
  <si>
    <t xml:space="preserve">Consent, refusal, 3 attempts over 14 days, owner-approved specification-only sharing</t>
  </si>
  <si>
    <t xml:space="preserve">New owners never see the previous owner's history.</t>
  </si>
  <si>
    <t xml:space="preserve">25.11</t>
  </si>
  <si>
    <t xml:space="preserve">Personal-data deletion</t>
  </si>
  <si>
    <t xml:space="preserve">Remove names, contacts and identifying photos while keeping the paint specification; backup purge in 35 days</t>
  </si>
  <si>
    <t xml:space="preserve">Deletion requests are handled manually by a developer.</t>
  </si>
  <si>
    <t xml:space="preserve">25.12</t>
  </si>
  <si>
    <t xml:space="preserve">Data migration</t>
  </si>
  <si>
    <t xml:space="preserve">Import about 1,800 properties and 2,600 jobs from PaintScout and Excel with duplicate review</t>
  </si>
  <si>
    <t xml:space="preserve">The record starts empty and fills from new jobs only.</t>
  </si>
  <si>
    <t xml:space="preserve">25.13</t>
  </si>
  <si>
    <t xml:space="preserve">Merge and unit renumbering approvals</t>
  </si>
  <si>
    <t xml:space="preserve">Owner approves each merge and renumbering individually</t>
  </si>
  <si>
    <t xml:space="preserve">Merges are done by a developer on request.</t>
  </si>
  <si>
    <t xml:space="preserve">25.14</t>
  </si>
  <si>
    <t xml:space="preserve">Staff and customer-safe exports</t>
  </si>
  <si>
    <t xml:space="preserve">Record is viewed on screen only.</t>
  </si>
  <si>
    <t xml:space="preserve">Feature 26 — Customer QR Paint Record</t>
  </si>
  <si>
    <t xml:space="preserve">26.1</t>
  </si>
  <si>
    <t xml:space="preserve">Link generation and revocation</t>
  </si>
  <si>
    <t xml:space="preserve">One unguessable link per ownership period; revoke and regenerate by owner or office manager</t>
  </si>
  <si>
    <t xml:space="preserve">26.2</t>
  </si>
  <si>
    <t xml:space="preserve">Public record page</t>
  </si>
  <si>
    <t xml:space="preserve">No-login page with surfaces, colours, product, sheen, coats and dates; revoked link shows only 'Record has moved'</t>
  </si>
  <si>
    <t xml:space="preserve">26.3</t>
  </si>
  <si>
    <t xml:space="preserve">Send link with contact verification</t>
  </si>
  <si>
    <t xml:space="preserve">Office verifies email or phone; a person sends the link</t>
  </si>
  <si>
    <t xml:space="preserve">26.4</t>
  </si>
  <si>
    <t xml:space="preserve">Printed QR card and sticker</t>
  </si>
  <si>
    <t xml:space="preserve">Two printable formats with QR code, logo and phone number</t>
  </si>
  <si>
    <t xml:space="preserve">The link is sent by email or text only.</t>
  </si>
  <si>
    <t xml:space="preserve">26.5</t>
  </si>
  <si>
    <t xml:space="preserve">Touch-up request form</t>
  </si>
  <si>
    <t xml:space="preserve">Prefilled request with challenge question and rate limit; automatic acknowledgment</t>
  </si>
  <si>
    <t xml:space="preserve">Customers phone the office for touch-up paint.</t>
  </si>
  <si>
    <t xml:space="preserve">26.6</t>
  </si>
  <si>
    <t xml:space="preserve">Customer PDF download</t>
  </si>
  <si>
    <t xml:space="preserve">Customer-safe PDF of the record</t>
  </si>
  <si>
    <t xml:space="preserve">Customers view the page online only.</t>
  </si>
  <si>
    <t xml:space="preserve">26.7</t>
  </si>
  <si>
    <t xml:space="preserve">Photo sharing and release approval</t>
  </si>
  <si>
    <t xml:space="preserve">Office picks photos; owner approves identifying images with a signed release</t>
  </si>
  <si>
    <t xml:space="preserve">No photos appear on the public page.</t>
  </si>
  <si>
    <t xml:space="preserve">26.8</t>
  </si>
  <si>
    <t xml:space="preserve">Replacement-link verification</t>
  </si>
  <si>
    <t xml:space="preserve">Caller gives address plus two details; failure sends to the contact on file</t>
  </si>
  <si>
    <t xml:space="preserve">Lost links are reissued by the office after a manual check.</t>
  </si>
  <si>
    <t xml:space="preserve">26.9</t>
  </si>
  <si>
    <t xml:space="preserve">Open analytics</t>
  </si>
  <si>
    <t xml:space="preserve">Open and scan counts with coarse device type only</t>
  </si>
  <si>
    <t xml:space="preserve">No data on how often records are opened.</t>
  </si>
  <si>
    <t xml:space="preserve">26.10</t>
  </si>
  <si>
    <t xml:space="preserve">Business-closure process</t>
  </si>
  <si>
    <t xml:space="preserve">60-day notice and permitted PDFs sent to all active customers</t>
  </si>
  <si>
    <t xml:space="preserve">Handled manually if the business ever closes.</t>
  </si>
  <si>
    <t xml:space="preserve">Feature 27 — Paint Life And Automated Repainting Alerts</t>
  </si>
  <si>
    <t xml:space="preserve">27.1</t>
  </si>
  <si>
    <t xml:space="preserve">Lifespan library and adjustment rules</t>
  </si>
  <si>
    <t xml:space="preserve">Owner-controlled default years per room and surface, with exposure, premium and poor-prep adjustments</t>
  </si>
  <si>
    <t xml:space="preserve">27.2</t>
  </si>
  <si>
    <t xml:space="preserve">Repaint date calculation</t>
  </si>
  <si>
    <t xml:space="preserve">Expected date per surface from its completion date, with the basis and rule version saved</t>
  </si>
  <si>
    <t xml:space="preserve">27.3</t>
  </si>
  <si>
    <t xml:space="preserve">Nightly run with grouping</t>
  </si>
  <si>
    <t xml:space="preserve">2 a.m. run that creates alerts, groups surfaces per property over 12 months and never duplicates</t>
  </si>
  <si>
    <t xml:space="preserve">27.4</t>
  </si>
  <si>
    <t xml:space="preserve">Alert queue and outcomes</t>
  </si>
  <si>
    <t xml:space="preserve">Queue per property with Contacted, Snoozed, Dismissed and Converted outcomes</t>
  </si>
  <si>
    <t xml:space="preserve">27.5</t>
  </si>
  <si>
    <t xml:space="preserve">Suppression and opt-out</t>
  </si>
  <si>
    <t xml:space="preserve">Suppress sold, demolished, open repaint estimate and active job; opt-out blocks contact</t>
  </si>
  <si>
    <t xml:space="preserve">27.6</t>
  </si>
  <si>
    <t xml:space="preserve">14-day escalation</t>
  </si>
  <si>
    <t xml:space="preserve">Unactioned alerts escalate to the owner</t>
  </si>
  <si>
    <t xml:space="preserve">Old alerts stay in the queue without a warning.</t>
  </si>
  <si>
    <t xml:space="preserve">27.7</t>
  </si>
  <si>
    <t xml:space="preserve">Backlog for imported records</t>
  </si>
  <si>
    <t xml:space="preserve">Separate backlog with batch qualification of up to 25</t>
  </si>
  <si>
    <t xml:space="preserve">Only needed with Feature 25 migration (25.12).</t>
  </si>
  <si>
    <t xml:space="preserve">27.8</t>
  </si>
  <si>
    <t xml:space="preserve">Inspection extensions</t>
  </si>
  <si>
    <t xml:space="preserve">Up to +2 years with photo and reason; estimator proposes, owner approves</t>
  </si>
  <si>
    <t xml:space="preserve">Dates cannot be extended after an inspection.</t>
  </si>
  <si>
    <t xml:space="preserve">27.9</t>
  </si>
  <si>
    <t xml:space="preserve">Historical recalculation</t>
  </si>
  <si>
    <t xml:space="preserve">Owner selects records to recalculate after a library change; old and new dates kept</t>
  </si>
  <si>
    <t xml:space="preserve">Library changes apply to future surfaces only.</t>
  </si>
  <si>
    <t xml:space="preserve">27.10</t>
  </si>
  <si>
    <t xml:space="preserve">Run log and failure catch-up</t>
  </si>
  <si>
    <t xml:space="preserve">Run history, visible failures and next-night catch-up</t>
  </si>
  <si>
    <t xml:space="preserve">A failed run is only noticed by developers.</t>
  </si>
  <si>
    <t xml:space="preserve">Feature 28 — Future Estimating And Reordering</t>
  </si>
  <si>
    <t xml:space="preserve">28.1</t>
  </si>
  <si>
    <t xml:space="preserve">Historical surface selector</t>
  </si>
  <si>
    <t xml:space="preserve">Pick prior surfaces manually; copy measurements, colours, products, sheen and coats with source job links</t>
  </si>
  <si>
    <t xml:space="preserve">28.2</t>
  </si>
  <si>
    <t xml:space="preserve">Line reconfirmation and current pricing</t>
  </si>
  <si>
    <t xml:space="preserve">Every copied line reconfirmed; current wages, materials, markup and tax only</t>
  </si>
  <si>
    <t xml:space="preserve">28.3</t>
  </si>
  <si>
    <t xml:space="preserve">Inspection gate</t>
  </si>
  <si>
    <t xml:space="preserve">Site visit with measurement date and photo; small-interior path with photos and a call</t>
  </si>
  <si>
    <t xml:space="preserve">28.4</t>
  </si>
  <si>
    <t xml:space="preserve">Issue quote</t>
  </si>
  <si>
    <t xml:space="preserve">30-day quote with the differing-conditions clause and PDF</t>
  </si>
  <si>
    <t xml:space="preserve">28.5</t>
  </si>
  <si>
    <t xml:space="preserve">Comparison view</t>
  </si>
  <si>
    <t xml:space="preserve">Internal view of added / removed surfaces, measurement and price differences</t>
  </si>
  <si>
    <t xml:space="preserve">Estimator compares with the old job by hand.</t>
  </si>
  <si>
    <t xml:space="preserve">28.6</t>
  </si>
  <si>
    <t xml:space="preserve">Historical productivity policy</t>
  </si>
  <si>
    <t xml:space="preserve">Owner approves reuse per property type; 18-month warning</t>
  </si>
  <si>
    <t xml:space="preserve">Repeat estimates always use current production rates.</t>
  </si>
  <si>
    <t xml:space="preserve">28.7</t>
  </si>
  <si>
    <t xml:space="preserve">Discontinued product replacement</t>
  </si>
  <si>
    <t xml:space="preserve">Estimator proposes; office or owner approves; Rule 1 applies</t>
  </si>
  <si>
    <t xml:space="preserve">Estimator edits the line directly; changes on signed work still go through a change order.</t>
  </si>
  <si>
    <t xml:space="preserve">28.8</t>
  </si>
  <si>
    <t xml:space="preserve">Duplicate warnings</t>
  </si>
  <si>
    <t xml:space="preserve">Warns about an open repaint estimate or pending reorder</t>
  </si>
  <si>
    <t xml:space="preserve">Duplicates are caught by staff.</t>
  </si>
  <si>
    <t xml:space="preserve">28.9</t>
  </si>
  <si>
    <t xml:space="preserve">Touch-up reorders</t>
  </si>
  <si>
    <t xml:space="preserve">Up to 2 gallons against the property, payment check, stock check, approval, refund on cancel</t>
  </si>
  <si>
    <t xml:space="preserve">Touch-up paint is sold through a normal invoice.</t>
  </si>
  <si>
    <t xml:space="preserve">Feature 29 — Repainting Follow-Up Workflow</t>
  </si>
  <si>
    <t xml:space="preserve">29.1</t>
  </si>
  <si>
    <t xml:space="preserve">Qualification gate</t>
  </si>
  <si>
    <t xml:space="preserve">Office accepts or rejects each alert with a reason before any contact</t>
  </si>
  <si>
    <t xml:space="preserve">29.2</t>
  </si>
  <si>
    <t xml:space="preserve">Assignment</t>
  </si>
  <si>
    <t xml:space="preserve">One area estimator per property conversation; out-of-office returns to queue</t>
  </si>
  <si>
    <t xml:space="preserve">29.3</t>
  </si>
  <si>
    <t xml:space="preserve">Contact attempts and call records</t>
  </si>
  <si>
    <t xml:space="preserve">Days 1, 14 and 35 with Sunday / holiday moves; who, note, outcome and next date required</t>
  </si>
  <si>
    <t xml:space="preserve">29.4</t>
  </si>
  <si>
    <t xml:space="preserve">Contact window and opt-out</t>
  </si>
  <si>
    <t xml:space="preserve">8 a.m.–7 p.m. local, no Sundays or holidays; opt-out honoured on every channel; office records re-consent</t>
  </si>
  <si>
    <t xml:space="preserve">29.5</t>
  </si>
  <si>
    <t xml:space="preserve">Manual closure</t>
  </si>
  <si>
    <t xml:space="preserve">Staff close as Won, Lost, Deferred or Do not contact; prompt when a linked estimate resolves</t>
  </si>
  <si>
    <t xml:space="preserve">29.6</t>
  </si>
  <si>
    <t xml:space="preserve">Three escalation clocks</t>
  </si>
  <si>
    <t xml:space="preserve">Unassigned 3 days, assigned 7 days, alert 14 days</t>
  </si>
  <si>
    <t xml:space="preserve">Late follow-ups are spotted by reviewing the list.</t>
  </si>
  <si>
    <t xml:space="preserve">29.7</t>
  </si>
  <si>
    <t xml:space="preserve">Season recycling</t>
  </si>
  <si>
    <t xml:space="preserve">No answer after 3 attempts recycles to 1 March or 1 September</t>
  </si>
  <si>
    <t xml:space="preserve">Unanswered follow-ups are closed as Lost.</t>
  </si>
  <si>
    <t xml:space="preserve">29.8</t>
  </si>
  <si>
    <t xml:space="preserve">Reminder email with quote link</t>
  </si>
  <si>
    <t xml:space="preserve">Person-sent email with a Request a quote link into the quote queue</t>
  </si>
  <si>
    <t xml:space="preserve">Contact is by phone only.</t>
  </si>
  <si>
    <t xml:space="preserve">29.9</t>
  </si>
  <si>
    <t xml:space="preserve">Duplicate detection</t>
  </si>
  <si>
    <t xml:space="preserve">Overlapping surfaces within 90 days link to the existing opportunity</t>
  </si>
  <si>
    <t xml:space="preserve">Staff check for duplicates by hand.</t>
  </si>
  <si>
    <t xml:space="preserve">29.10</t>
  </si>
  <si>
    <t xml:space="preserve">Sold property handling</t>
  </si>
  <si>
    <t xml:space="preserve">Close as Property sold and create a new-owner lead</t>
  </si>
  <si>
    <t xml:space="preserve">Office creates the new lead by hand.</t>
  </si>
  <si>
    <t xml:space="preserve">29.11</t>
  </si>
  <si>
    <t xml:space="preserve">Monthly measures report</t>
  </si>
  <si>
    <t xml:space="preserve">Alerts, contacts, attempts, estimates, jobs sold and dollars won, with drill-down</t>
  </si>
  <si>
    <t xml:space="preserve">No conversion reporting.</t>
  </si>
  <si>
    <t xml:space="preserve">29.12</t>
  </si>
  <si>
    <t xml:space="preserve">Text messaging</t>
  </si>
  <si>
    <t xml:space="preserve">Person-sent texts, released after written state rules are supplied</t>
  </si>
  <si>
    <t xml:space="preserve">Contact by phone and email only.</t>
  </si>
  <si>
    <t xml:space="preserve">Feature 30 — Estimating Performance Feedback</t>
  </si>
  <si>
    <t xml:space="preserve">30.1</t>
  </si>
  <si>
    <t xml:space="preserve">Evidence pool and exclusions</t>
  </si>
  <si>
    <t xml:space="preserve">Eligible jobs per surface and product; exclusions with a recorded reason; Insufficient evidence message</t>
  </si>
  <si>
    <t xml:space="preserve">30.2</t>
  </si>
  <si>
    <t xml:space="preserve">Rate calculation and deviation</t>
  </si>
  <si>
    <t xml:space="preserve">Observed rate with the formula shown; deviation flagged against thresholds</t>
  </si>
  <si>
    <t xml:space="preserve">30.3</t>
  </si>
  <si>
    <t xml:space="preserve">Owner approval and rate versions</t>
  </si>
  <si>
    <t xml:space="preserve">Approve or reject; each approval creates a dated rate version; rollback as a new version</t>
  </si>
  <si>
    <t xml:space="preserve">30.4</t>
  </si>
  <si>
    <t xml:space="preserve">Impact preview</t>
  </si>
  <si>
    <t xml:space="preserve">Before-and-after on real sample jobs, moving only the rate under review</t>
  </si>
  <si>
    <t xml:space="preserve">Owner approves from the numbers without a preview.</t>
  </si>
  <si>
    <t xml:space="preserve">30.5</t>
  </si>
  <si>
    <t xml:space="preserve">Coverage-rate suggestions</t>
  </si>
  <si>
    <t xml:space="preserve">Suggest coverage rates as well as productivity</t>
  </si>
  <si>
    <t xml:space="preserve">Only productivity rates are suggested.</t>
  </si>
  <si>
    <t xml:space="preserve">30.6</t>
  </si>
  <si>
    <t xml:space="preserve">Day-90 review and escalation</t>
  </si>
  <si>
    <t xml:space="preserve">Review due at day 90, escalation to owner at day 120</t>
  </si>
  <si>
    <t xml:space="preserve">Reviews are scheduled outside the system.</t>
  </si>
  <si>
    <t xml:space="preserve">30.7</t>
  </si>
  <si>
    <t xml:space="preserve">Draft estimate refresh banner</t>
  </si>
  <si>
    <t xml:space="preserve">Shows how many open drafts use the changed rate</t>
  </si>
  <si>
    <t xml:space="preserve">Estimators are told about rate changes directly.</t>
  </si>
  <si>
    <t xml:space="preserve">30.8</t>
  </si>
  <si>
    <t xml:space="preserve">Evidence CSV export</t>
  </si>
  <si>
    <t xml:space="preserve">Export of the evidence pool</t>
  </si>
  <si>
    <t xml:space="preserve">Evidence viewed on screen only.</t>
  </si>
  <si>
    <t xml:space="preserve">Feature 33 — Financial And Accounting Management</t>
  </si>
  <si>
    <t xml:space="preserve">33.1</t>
  </si>
  <si>
    <t xml:space="preserve">QuickBooks connection and exchange queue</t>
  </si>
  <si>
    <t xml:space="preserve">Hourly exchange 6 a.m.–6 p.m. Mon–Sat; invoices and allocations out, payment status in; rejected records resent as new versions</t>
  </si>
  <si>
    <t xml:space="preserve">33.2</t>
  </si>
  <si>
    <t xml:space="preserve">Accounting setup and mappings</t>
  </si>
  <si>
    <t xml:space="preserve">Chart of accounts, categories, cost codes and tax rules supplied by the bookkeeper</t>
  </si>
  <si>
    <t xml:space="preserve">33.3</t>
  </si>
  <si>
    <t xml:space="preserve">Job allocation</t>
  </si>
  <si>
    <t xml:space="preserve">Allocate costs to jobs with a running total and residual assigned by Rule 5</t>
  </si>
  <si>
    <t xml:space="preserve">33.4</t>
  </si>
  <si>
    <t xml:space="preserve">Supplier bill matching</t>
  </si>
  <si>
    <t xml:space="preserve">Match bills to POs and received quantities; stop card payments becoming a second expense</t>
  </si>
  <si>
    <t xml:space="preserve">33.5</t>
  </si>
  <si>
    <t xml:space="preserve">Unallocated list</t>
  </si>
  <si>
    <t xml:space="preserve">Code QuickBooks records that arrive without a job or cost code</t>
  </si>
  <si>
    <t xml:space="preserve">33.6</t>
  </si>
  <si>
    <t xml:space="preserve">Reimbursements</t>
  </si>
  <si>
    <t xml:space="preserve">Claims with receipt photo, crew and office approval, owner review of office manager's own claims</t>
  </si>
  <si>
    <t xml:space="preserve">Staff are reimbursed through QuickBooks or Gusto directly.</t>
  </si>
  <si>
    <t xml:space="preserve">33.7</t>
  </si>
  <si>
    <t xml:space="preserve">Job margin report</t>
  </si>
  <si>
    <t xml:space="preserve">Job margin with both named figures, sync cutoff and unmatched-cost warning</t>
  </si>
  <si>
    <t xml:space="preserve">Job margin is run in QuickBooks.</t>
  </si>
  <si>
    <t xml:space="preserve">33.8</t>
  </si>
  <si>
    <t xml:space="preserve">Monthly income and expense report</t>
  </si>
  <si>
    <t xml:space="preserve">Monthly report with sync cutoff</t>
  </si>
  <si>
    <t xml:space="preserve">Run in QuickBooks.</t>
  </si>
  <si>
    <t xml:space="preserve">33.9</t>
  </si>
  <si>
    <t xml:space="preserve">Aged receivables report</t>
  </si>
  <si>
    <t xml:space="preserve">Aged receivables with sync cutoff</t>
  </si>
  <si>
    <t xml:space="preserve">33.10</t>
  </si>
  <si>
    <t xml:space="preserve">Audit export</t>
  </si>
  <si>
    <t xml:space="preserve">Export of exchanged records for audit</t>
  </si>
  <si>
    <t xml:space="preserve">Audit data pulled from QuickBooks.</t>
  </si>
  <si>
    <t xml:space="preserve">Feature 34 — Social Media And Marketing Management</t>
  </si>
  <si>
    <t xml:space="preserve">34.1</t>
  </si>
  <si>
    <t xml:space="preserve">Post composer and media library</t>
  </si>
  <si>
    <t xml:space="preserve">Draft posts from job media with templates in 1080×1080 and 1080×1350</t>
  </si>
  <si>
    <t xml:space="preserve">34.2</t>
  </si>
  <si>
    <t xml:space="preserve">Consent check and pre-publication checklist</t>
  </si>
  <si>
    <t xml:space="preserve">Blocks identifiable content without a release; checks house numbers, faces, plates, neighbours; blocks street addresses</t>
  </si>
  <si>
    <t xml:space="preserve">34.3</t>
  </si>
  <si>
    <t xml:space="preserve">Owner approval and versions</t>
  </si>
  <si>
    <t xml:space="preserve">Owner approves identifiable content; approval tied to the version reviewed</t>
  </si>
  <si>
    <t xml:space="preserve">34.4</t>
  </si>
  <si>
    <t xml:space="preserve">Scheduler and publishing</t>
  </si>
  <si>
    <t xml:space="preserve">Publish to Facebook and Instagram at local wall-clock time; missed posts wait for the office manager</t>
  </si>
  <si>
    <t xml:space="preserve">34.5</t>
  </si>
  <si>
    <t xml:space="preserve">Content calendar</t>
  </si>
  <si>
    <t xml:space="preserve">Monthly calendar with post chips and state legend</t>
  </si>
  <si>
    <t xml:space="preserve">Scheduled posts are shown as a list.</t>
  </si>
  <si>
    <t xml:space="preserve">34.6</t>
  </si>
  <si>
    <t xml:space="preserve">Crop and template overlay tool</t>
  </si>
  <si>
    <t xml:space="preserve">In-app crop and template overlay, original asset preserved</t>
  </si>
  <si>
    <t xml:space="preserve">Images are prepared in an outside tool and uploaded ready.</t>
  </si>
  <si>
    <t xml:space="preserve">34.7</t>
  </si>
  <si>
    <t xml:space="preserve">Account health warnings</t>
  </si>
  <si>
    <t xml:space="preserve">Connection state and access-expiry warnings per platform</t>
  </si>
  <si>
    <t xml:space="preserve">Expired access is found when a post fails.</t>
  </si>
  <si>
    <t xml:space="preserve">34.8</t>
  </si>
  <si>
    <t xml:space="preserve">Website lead capture and matching</t>
  </si>
  <si>
    <t xml:space="preserve">Website form creates or matches leads once</t>
  </si>
  <si>
    <t xml:space="preserve">Website form keeps emailing the office; leads entered by hand.</t>
  </si>
  <si>
    <t xml:space="preserve">34.9</t>
  </si>
  <si>
    <t xml:space="preserve">Lead review for conflicts</t>
  </si>
  <si>
    <t xml:space="preserve">Manual resolution of conflicting phone and email matches</t>
  </si>
  <si>
    <t xml:space="preserve">Only needed with 34.8.</t>
  </si>
  <si>
    <t xml:space="preserve">34.10</t>
  </si>
  <si>
    <t xml:space="preserve">Monthly marketing report</t>
  </si>
  <si>
    <t xml:space="preserve">Posts published and website leads by source</t>
  </si>
  <si>
    <t xml:space="preserve">No marketing reporting.</t>
  </si>
  <si>
    <t xml:space="preserve">ADD</t>
  </si>
  <si>
    <t xml:space="preserve">Recommended add-ons — patent sections not in the 14 (switch on with Include?)</t>
  </si>
  <si>
    <t xml:space="preserve">15.1</t>
  </si>
  <si>
    <t xml:space="preserve">Changing labour requirements</t>
  </si>
  <si>
    <t xml:space="preserve">When scope changes after scheduling, the scheduler shows the new Required Hours against Assigned Hours and flags the gap; the schedule is not moved automatically</t>
  </si>
  <si>
    <t xml:space="preserve">Add-on</t>
  </si>
  <si>
    <t xml:space="preserve">Scheduler keeps showing the original hours; staff must spot scope changes themselves.</t>
  </si>
  <si>
    <t xml:space="preserve">No</t>
  </si>
  <si>
    <t xml:space="preserve">16.1</t>
  </si>
  <si>
    <t xml:space="preserve">Bulk reschedule for weather and delays</t>
  </si>
  <si>
    <t xml:space="preserve">Select many jobs (list or date range), push forward X days or to new dates, preview old vs new dates, crew-availability conflicts flagged before confirm</t>
  </si>
  <si>
    <t xml:space="preserve">Rain days are rescheduled one job at a time.</t>
  </si>
  <si>
    <t xml:space="preserve">17.1</t>
  </si>
  <si>
    <t xml:space="preserve">Protected jobs and leapfrog rescheduling</t>
  </si>
  <si>
    <t xml:space="preserve">Pin/lock a job as Protected; bulk reschedule moves the other jobs around it without creating a conflict on its date</t>
  </si>
  <si>
    <t xml:space="preserve">All jobs in a bulk move shift together; fixed-date jobs are moved back by hand.</t>
  </si>
  <si>
    <t xml:space="preserve">20.1</t>
  </si>
  <si>
    <t xml:space="preserve">Production log: actual material per surface and photos</t>
  </si>
  <si>
    <t xml:space="preserve">Log actual gallons used per day and per surface, mark surfaces complete, attach photos to a surface or work item (feeds 21, 25, 30)</t>
  </si>
  <si>
    <t xml:space="preserve">Actual paint comes only from received quantities (18.5); no per-surface usage or photos.</t>
  </si>
  <si>
    <t xml:space="preserve">Add-on hours (full list)</t>
  </si>
  <si>
    <t xml:space="preserve">Selected add-on hours</t>
  </si>
  <si>
    <t xml:space="preserve">Estimate basis and assumptions</t>
  </si>
  <si>
    <t xml:space="preserve">Source</t>
  </si>
  <si>
    <t xml:space="preserve">EMTS User Stories and Final Design v1.0 (23 September 2026). Each row maps to a component or rule in that document; Ref numbers follow its component numbers where they exist.</t>
  </si>
  <si>
    <t xml:space="preserve">What the hours include</t>
  </si>
  <si>
    <t xml:space="preserve">Production build in the live Estimate Master app (Next.js): data model and API, screens, validations, access rules, activity logging, unit tests, and developer testing for that function.</t>
  </si>
  <si>
    <t xml:space="preserve">What the hours exclude</t>
  </si>
  <si>
    <t xml:space="preserve">Project management, client meetings, UAT rounds, deployment, and time waiting on launch-gate inputs from the client (see the design document's Launch Gates section).</t>
  </si>
  <si>
    <t xml:space="preserve">Outside systems</t>
  </si>
  <si>
    <t xml:space="preserve">Gusto (22), QuickBooks Online (33) and Meta / Facebook / Instagram (34) hours assume their APIs or CSV formats behave as documented. Account approval and access problems on the provider side are not included.</t>
  </si>
  <si>
    <t xml:space="preserve">Accuracy</t>
  </si>
  <si>
    <t xml:space="preserve">Planning estimates. Expect a range of about ±20% per feature until the development team reviews each row.</t>
  </si>
  <si>
    <t xml:space="preserve">Existing prototype</t>
  </si>
  <si>
    <t xml:space="preserve">Features 3, 18, 19, 24, 25, 26, 27, 28 and 29 are in the clickable prototype. It speeds up the production build as a reference, but these hours assume the production code is written fresh in the real app.</t>
  </si>
  <si>
    <t xml:space="preserve">Input cells</t>
  </si>
  <si>
    <t xml:space="preserve">Hours (blue text) and Include? (yellow cells) can be edited. Everything else is calculated.</t>
  </si>
  <si>
    <t xml:space="preserve">Prepared by</t>
  </si>
  <si>
    <t xml:space="preserve">AbroadWorks project management, for client review.</t>
  </si>
  <si>
    <t xml:space="preserve">Hours filled</t>
  </si>
  <si>
    <t xml:space="preserve">30 September 2026 by project management as planning estimates. Development lead to review each row before the figures are quoted as a fixed price.</t>
  </si>
  <si>
    <t xml:space="preserve">As of 30 September 2026 all 14 features, plus parts of sections 16, 17 and 20, are in the clickable prototype. The hours still assume production code is written fresh in the live app.</t>
  </si>
  <si>
    <t xml:space="preserve">Add-ons</t>
  </si>
  <si>
    <t xml:space="preserve">Sections 15, 16, 17 and 20 of the patent document are not in the 14 selected features. They are listed separately, switched off by default, and need client confirmation (and a check of what the live Phase 1 scheduler already does).</t>
  </si>
</sst>
</file>

<file path=xl/styles.xml><?xml version="1.0" encoding="utf-8"?>
<styleSheet xmlns="http://schemas.openxmlformats.org/spreadsheetml/2006/main">
  <numFmts count="8">
    <numFmt numFmtId="164" formatCode="General"/>
    <numFmt numFmtId="165" formatCode="#,##0;\(#,##0\);\-"/>
    <numFmt numFmtId="166" formatCode="#,##0"/>
    <numFmt numFmtId="167" formatCode="ddd\ d\ mmm\ yyyy"/>
    <numFmt numFmtId="168" formatCode="0%"/>
    <numFmt numFmtId="169" formatCode="\$#,##0"/>
    <numFmt numFmtId="170" formatCode="d\ mmm\ yyyy"/>
    <numFmt numFmtId="171" formatCode="General"/>
  </numFmts>
  <fonts count="29">
    <font>
      <sz val="11"/>
      <color theme="1"/>
      <name val="Calibri"/>
      <family val="0"/>
      <charset val="1"/>
    </font>
    <font>
      <sz val="10"/>
      <name val="Arial"/>
      <family val="0"/>
    </font>
    <font>
      <sz val="10"/>
      <name val="Arial"/>
      <family val="0"/>
    </font>
    <font>
      <sz val="10"/>
      <name val="Arial"/>
      <family val="0"/>
    </font>
    <font>
      <b val="true"/>
      <sz val="15"/>
      <color rgb="FF1E3A5F"/>
      <name val="Inter"/>
      <family val="0"/>
      <charset val="1"/>
    </font>
    <font>
      <sz val="11"/>
      <color theme="1"/>
      <name val="Inter"/>
      <family val="0"/>
      <charset val="1"/>
    </font>
    <font>
      <i val="true"/>
      <sz val="10"/>
      <color rgb="FF555555"/>
      <name val="Inter"/>
      <family val="0"/>
      <charset val="1"/>
    </font>
    <font>
      <b val="true"/>
      <sz val="10"/>
      <color rgb="FFFFFFFF"/>
      <name val="Inter"/>
      <family val="0"/>
      <charset val="1"/>
    </font>
    <font>
      <sz val="10"/>
      <color theme="1"/>
      <name val="Inter"/>
      <family val="0"/>
      <charset val="1"/>
    </font>
    <font>
      <sz val="10"/>
      <color rgb="FF1B7F3B"/>
      <name val="Inter"/>
      <family val="0"/>
      <charset val="1"/>
    </font>
    <font>
      <sz val="10"/>
      <color rgb="FFB45309"/>
      <name val="Inter"/>
      <family val="0"/>
      <charset val="1"/>
    </font>
    <font>
      <b val="true"/>
      <sz val="10"/>
      <color theme="1"/>
      <name val="Inter"/>
      <family val="0"/>
      <charset val="1"/>
    </font>
    <font>
      <b val="true"/>
      <sz val="11"/>
      <color rgb="FF1E3A5F"/>
      <name val="Inter"/>
      <family val="0"/>
      <charset val="1"/>
    </font>
    <font>
      <b val="true"/>
      <sz val="14"/>
      <color rgb="FF1E3A5F"/>
      <name val="Arial"/>
      <family val="0"/>
      <charset val="1"/>
    </font>
    <font>
      <i val="true"/>
      <sz val="11"/>
      <color rgb="FF555555"/>
      <name val="Arial"/>
      <family val="0"/>
      <charset val="1"/>
    </font>
    <font>
      <b val="true"/>
      <sz val="11"/>
      <name val="Arial"/>
      <family val="0"/>
      <charset val="1"/>
    </font>
    <font>
      <sz val="11"/>
      <name val="Arial"/>
      <family val="0"/>
      <charset val="1"/>
    </font>
    <font>
      <sz val="11"/>
      <color rgb="FF0000FF"/>
      <name val="Arial"/>
      <family val="0"/>
      <charset val="1"/>
    </font>
    <font>
      <i val="true"/>
      <sz val="11"/>
      <color rgb="FF888888"/>
      <name val="Arial"/>
      <family val="0"/>
      <charset val="1"/>
    </font>
    <font>
      <b val="true"/>
      <sz val="11"/>
      <color rgb="FFFFFFFF"/>
      <name val="Arial"/>
      <family val="0"/>
      <charset val="1"/>
    </font>
    <font>
      <b val="true"/>
      <sz val="10"/>
      <color rgb="FF1E3A5F"/>
      <name val="Inter"/>
      <family val="0"/>
      <charset val="1"/>
    </font>
    <font>
      <b val="true"/>
      <sz val="12"/>
      <color rgb="FFFFFFFF"/>
      <name val="Inter"/>
      <family val="0"/>
      <charset val="1"/>
    </font>
    <font>
      <b val="true"/>
      <sz val="9"/>
      <color rgb="FF333333"/>
      <name val="Inter"/>
      <family val="0"/>
      <charset val="1"/>
    </font>
    <font>
      <b val="true"/>
      <sz val="10"/>
      <color rgb="FF2563EB"/>
      <name val="Inter"/>
      <family val="0"/>
      <charset val="1"/>
    </font>
    <font>
      <i val="true"/>
      <sz val="10"/>
      <color rgb="FF666666"/>
      <name val="Inter"/>
      <family val="0"/>
      <charset val="1"/>
    </font>
    <font>
      <sz val="10"/>
      <color rgb="FF0000FF"/>
      <name val="Inter"/>
      <family val="0"/>
      <charset val="1"/>
    </font>
    <font>
      <b val="true"/>
      <sz val="10"/>
      <color rgb="FF0000FF"/>
      <name val="Inter"/>
      <family val="0"/>
      <charset val="1"/>
    </font>
    <font>
      <b val="true"/>
      <sz val="10"/>
      <name val="Inter"/>
      <family val="0"/>
      <charset val="1"/>
    </font>
    <font>
      <b val="true"/>
      <sz val="14"/>
      <color rgb="FF1E3A5F"/>
      <name val="Inter"/>
      <family val="0"/>
      <charset val="1"/>
    </font>
  </fonts>
  <fills count="7">
    <fill>
      <patternFill patternType="none"/>
    </fill>
    <fill>
      <patternFill patternType="gray125"/>
    </fill>
    <fill>
      <patternFill patternType="solid">
        <fgColor rgb="FF1E3A5F"/>
        <bgColor rgb="FF333333"/>
      </patternFill>
    </fill>
    <fill>
      <patternFill patternType="solid">
        <fgColor rgb="FFF1F3F6"/>
        <bgColor rgb="FFE8EEF9"/>
      </patternFill>
    </fill>
    <fill>
      <patternFill patternType="solid">
        <fgColor rgb="FFD9F2E3"/>
        <bgColor rgb="FFE8EEF9"/>
      </patternFill>
    </fill>
    <fill>
      <patternFill patternType="solid">
        <fgColor rgb="FFFFF4C2"/>
        <bgColor rgb="FFFFFF99"/>
      </patternFill>
    </fill>
    <fill>
      <patternFill patternType="solid">
        <fgColor rgb="FFE8EEF9"/>
        <bgColor rgb="FFF1F3F6"/>
      </patternFill>
    </fill>
  </fills>
  <borders count="3">
    <border diagonalUp="false" diagonalDown="false">
      <left/>
      <right/>
      <top/>
      <bottom/>
      <diagonal/>
    </border>
    <border diagonalUp="false" diagonalDown="false">
      <left style="thin">
        <color rgb="FFD5DAE1"/>
      </left>
      <right style="thin">
        <color rgb="FFD5DAE1"/>
      </right>
      <top style="thin">
        <color rgb="FFD5DAE1"/>
      </top>
      <bottom style="thin">
        <color rgb="FFD5DAE1"/>
      </bottom>
      <diagonal/>
    </border>
    <border diagonalUp="false" diagonalDown="false">
      <left/>
      <right/>
      <top style="medium">
        <color rgb="FF1E3A5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top" textRotation="0" wrapText="true" indent="0" shrinkToFit="false"/>
      <protection locked="true" hidden="false"/>
    </xf>
    <xf numFmtId="166" fontId="11" fillId="4" borderId="2"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17" fillId="5"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8" fontId="17" fillId="5" borderId="0" xfId="0" applyFont="true" applyBorder="false" applyAlignment="true" applyProtection="false">
      <alignment horizontal="general" vertical="bottom" textRotation="0" wrapText="false" indent="0" shrinkToFit="false"/>
      <protection locked="true" hidden="false"/>
    </xf>
    <xf numFmtId="169" fontId="17" fillId="5"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70" fontId="16" fillId="0" borderId="0" xfId="0" applyFont="true" applyBorder="false" applyAlignment="true" applyProtection="false">
      <alignment horizontal="general" vertical="top" textRotation="0" wrapText="true" indent="0" shrinkToFit="false"/>
      <protection locked="true" hidden="false"/>
    </xf>
    <xf numFmtId="169" fontId="16" fillId="0" borderId="0" xfId="0" applyFont="true" applyBorder="fals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false">
      <alignment horizontal="general" vertical="bottom" textRotation="0" wrapText="false" indent="0" shrinkToFit="false"/>
      <protection locked="true" hidden="false"/>
    </xf>
    <xf numFmtId="170" fontId="15" fillId="4" borderId="0" xfId="0" applyFont="true" applyBorder="false" applyAlignment="true" applyProtection="false">
      <alignment horizontal="general" vertical="bottom" textRotation="0" wrapText="false" indent="0" shrinkToFit="false"/>
      <protection locked="true" hidden="false"/>
    </xf>
    <xf numFmtId="169" fontId="15" fillId="4"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true" indent="0" shrinkToFit="false"/>
      <protection locked="true" hidden="false"/>
    </xf>
    <xf numFmtId="166" fontId="1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center" vertical="top" textRotation="0" wrapText="true" indent="0" shrinkToFit="false"/>
      <protection locked="true" hidden="false"/>
    </xf>
    <xf numFmtId="164" fontId="22" fillId="3"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23" fillId="6" borderId="1" xfId="0" applyFont="true" applyBorder="true" applyAlignment="true" applyProtection="false">
      <alignment horizontal="center" vertical="top" textRotation="0" wrapText="true" indent="0" shrinkToFit="false"/>
      <protection locked="true" hidden="false"/>
    </xf>
    <xf numFmtId="164" fontId="24" fillId="6" borderId="1" xfId="0" applyFont="true" applyBorder="true" applyAlignment="true" applyProtection="false">
      <alignment horizontal="general" vertical="top" textRotation="0" wrapText="true" indent="0" shrinkToFit="false"/>
      <protection locked="true" hidden="false"/>
    </xf>
    <xf numFmtId="164" fontId="25" fillId="6"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center" vertical="top" textRotation="0" wrapText="true" indent="0" shrinkToFit="false"/>
      <protection locked="true" hidden="false"/>
    </xf>
    <xf numFmtId="164" fontId="26" fillId="5"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true" applyAlignment="true" applyProtection="false">
      <alignment horizontal="right" vertical="bottom" textRotation="0" wrapText="false" indent="0" shrinkToFit="false"/>
      <protection locked="true" hidden="false"/>
    </xf>
    <xf numFmtId="171" fontId="11" fillId="0" borderId="1" xfId="0" applyFont="true" applyBorder="true" applyAlignment="true" applyProtection="false">
      <alignment horizontal="center" vertical="bottom" textRotation="0" wrapText="false" indent="0" shrinkToFit="false"/>
      <protection locked="true" hidden="false"/>
    </xf>
    <xf numFmtId="171" fontId="11" fillId="4" borderId="1" xfId="0" applyFont="true" applyBorder="true" applyAlignment="true" applyProtection="false">
      <alignment horizontal="center"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center"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7" fillId="5" borderId="1" xfId="0" applyFont="true" applyBorder="true" applyAlignment="true" applyProtection="false">
      <alignment horizontal="center" vertical="top"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7F3B"/>
      <rgbColor rgb="FF000080"/>
      <rgbColor rgb="FF808000"/>
      <rgbColor rgb="FF800080"/>
      <rgbColor rgb="FF008080"/>
      <rgbColor rgb="FFC0C0C0"/>
      <rgbColor rgb="FF888888"/>
      <rgbColor rgb="FF9999FF"/>
      <rgbColor rgb="FF993366"/>
      <rgbColor rgb="FFFFF4C2"/>
      <rgbColor rgb="FFE8EEF9"/>
      <rgbColor rgb="FF660066"/>
      <rgbColor rgb="FFFF8080"/>
      <rgbColor rgb="FF0066CC"/>
      <rgbColor rgb="FFD5DAE1"/>
      <rgbColor rgb="FF000080"/>
      <rgbColor rgb="FFFF00FF"/>
      <rgbColor rgb="FFFFFF00"/>
      <rgbColor rgb="FF00FFFF"/>
      <rgbColor rgb="FF800080"/>
      <rgbColor rgb="FF800000"/>
      <rgbColor rgb="FF008080"/>
      <rgbColor rgb="FF0000FF"/>
      <rgbColor rgb="FF00CCFF"/>
      <rgbColor rgb="FFF1F3F6"/>
      <rgbColor rgb="FFD9F2E3"/>
      <rgbColor rgb="FFFFFF99"/>
      <rgbColor rgb="FF99CCFF"/>
      <rgbColor rgb="FFFF99CC"/>
      <rgbColor rgb="FFCC99FF"/>
      <rgbColor rgb="FFFFCC99"/>
      <rgbColor rgb="FF2563EB"/>
      <rgbColor rgb="FF33CCCC"/>
      <rgbColor rgb="FF99CC00"/>
      <rgbColor rgb="FFFFCC00"/>
      <rgbColor rgb="FFFF9900"/>
      <rgbColor rgb="FFFF6600"/>
      <rgbColor rgb="FF666666"/>
      <rgbColor rgb="FF969696"/>
      <rgbColor rgb="FF1E3A5F"/>
      <rgbColor rgb="FF339966"/>
      <rgbColor rgb="FF003300"/>
      <rgbColor rgb="FF333300"/>
      <rgbColor rgb="FFB45309"/>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9"/>
    <col collapsed="false" customWidth="true" hidden="false" outlineLevel="0" max="2" min="2" style="1" width="42"/>
    <col collapsed="false" customWidth="true" hidden="false" outlineLevel="0" max="3" min="3" style="1" width="13"/>
    <col collapsed="false" customWidth="true" hidden="false" outlineLevel="0" max="4" min="4" style="1" width="11"/>
    <col collapsed="false" customWidth="true" hidden="false" outlineLevel="0" max="6" min="5" style="1" width="12"/>
    <col collapsed="false" customWidth="true" hidden="false" outlineLevel="0" max="7" min="7" style="1" width="13"/>
    <col collapsed="false" customWidth="true" hidden="false" outlineLevel="0" max="8" min="8" style="1" width="12"/>
    <col collapsed="false" customWidth="true" hidden="false" outlineLevel="0" max="9" min="9" style="1" width="14"/>
    <col collapsed="false" customWidth="true" hidden="false" outlineLevel="0" max="26" min="10" style="1" width="12"/>
  </cols>
  <sheetData>
    <row r="1" customFormat="false" ht="18" hidden="false" customHeight="tru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15" hidden="false" customHeight="true" outlineLevel="0" collapsed="false">
      <c r="A2" s="4" t="s">
        <v>1</v>
      </c>
      <c r="B2" s="3"/>
      <c r="C2" s="3"/>
      <c r="D2" s="3"/>
      <c r="E2" s="3"/>
      <c r="F2" s="3"/>
      <c r="G2" s="3"/>
      <c r="H2" s="3"/>
      <c r="I2" s="3"/>
      <c r="J2" s="3"/>
      <c r="K2" s="3"/>
      <c r="L2" s="3"/>
      <c r="M2" s="3"/>
      <c r="N2" s="3"/>
      <c r="O2" s="3"/>
      <c r="P2" s="3"/>
      <c r="Q2" s="3"/>
      <c r="R2" s="3"/>
      <c r="S2" s="3"/>
      <c r="T2" s="3"/>
      <c r="U2" s="3"/>
      <c r="V2" s="3"/>
      <c r="W2" s="3"/>
      <c r="X2" s="3"/>
      <c r="Y2" s="3"/>
      <c r="Z2" s="3"/>
    </row>
    <row r="3" customFormat="false" ht="15" hidden="false" customHeight="true" outlineLevel="0" collapsed="false">
      <c r="A3" s="4" t="s">
        <v>2</v>
      </c>
      <c r="B3" s="3"/>
      <c r="C3" s="3"/>
      <c r="D3" s="3"/>
      <c r="E3" s="3"/>
      <c r="F3" s="3"/>
      <c r="G3" s="3"/>
      <c r="H3" s="3"/>
      <c r="I3" s="3"/>
      <c r="J3" s="3"/>
      <c r="K3" s="3"/>
      <c r="L3" s="3"/>
      <c r="M3" s="3"/>
      <c r="N3" s="3"/>
      <c r="O3" s="3"/>
      <c r="P3" s="3"/>
      <c r="Q3" s="3"/>
      <c r="R3" s="3"/>
      <c r="S3" s="3"/>
      <c r="T3" s="3"/>
      <c r="U3" s="3"/>
      <c r="V3" s="3"/>
      <c r="W3" s="3"/>
      <c r="X3" s="3"/>
      <c r="Y3" s="3"/>
      <c r="Z3" s="3"/>
    </row>
    <row r="4" customFormat="false" ht="23.25" hidden="false" customHeight="true" outlineLevel="0" collapsed="false">
      <c r="A4" s="5" t="s">
        <v>3</v>
      </c>
      <c r="B4" s="5" t="s">
        <v>4</v>
      </c>
      <c r="C4" s="5" t="s">
        <v>5</v>
      </c>
      <c r="D4" s="5" t="s">
        <v>6</v>
      </c>
      <c r="E4" s="5" t="s">
        <v>7</v>
      </c>
      <c r="F4" s="5" t="s">
        <v>8</v>
      </c>
      <c r="G4" s="5" t="s">
        <v>9</v>
      </c>
      <c r="H4" s="5" t="s">
        <v>10</v>
      </c>
      <c r="I4" s="5" t="s">
        <v>11</v>
      </c>
      <c r="J4" s="5" t="s">
        <v>12</v>
      </c>
      <c r="K4" s="3"/>
      <c r="L4" s="3"/>
      <c r="M4" s="3"/>
      <c r="N4" s="3"/>
      <c r="O4" s="3"/>
      <c r="P4" s="3"/>
      <c r="Q4" s="3"/>
      <c r="R4" s="3"/>
      <c r="S4" s="3"/>
      <c r="T4" s="3"/>
      <c r="U4" s="3"/>
      <c r="V4" s="3"/>
      <c r="W4" s="3"/>
      <c r="X4" s="3"/>
      <c r="Y4" s="3"/>
      <c r="Z4" s="3"/>
    </row>
    <row r="5" customFormat="false" ht="15" hidden="false" customHeight="true" outlineLevel="0" collapsed="false">
      <c r="A5" s="6" t="n">
        <v>3</v>
      </c>
      <c r="B5" s="7" t="s">
        <v>13</v>
      </c>
      <c r="C5" s="6" t="s">
        <v>14</v>
      </c>
      <c r="D5" s="8" t="n">
        <f aca="false">SUMIFS('Hours Breakdown'!$G$5:$G$300,'Hours Breakdown'!$A$5:$A$300,A5,'Hours Breakdown'!$E$5:$E$300,"Core")</f>
        <v>144</v>
      </c>
      <c r="E5" s="8" t="n">
        <f aca="false">SUMIFS('Hours Breakdown'!$G$5:$G$300,'Hours Breakdown'!$A$5:$A$300,A5,'Hours Breakdown'!$E$5:$E$300,"Optional")</f>
        <v>48</v>
      </c>
      <c r="F5" s="8" t="n">
        <f aca="false">D5+E5</f>
        <v>192</v>
      </c>
      <c r="G5" s="8" t="n">
        <f aca="false">SUMIFS('Hours Breakdown'!$I$5:$I$300,'Hours Breakdown'!$A$5:$A$300,A5)</f>
        <v>192</v>
      </c>
      <c r="H5" s="8" t="n">
        <f aca="false">F5-G5</f>
        <v>0</v>
      </c>
      <c r="I5" s="9" t="s">
        <v>15</v>
      </c>
      <c r="J5" s="9" t="s">
        <v>16</v>
      </c>
      <c r="K5" s="3"/>
      <c r="L5" s="3"/>
      <c r="M5" s="3"/>
      <c r="N5" s="3"/>
      <c r="O5" s="3"/>
      <c r="P5" s="3"/>
      <c r="Q5" s="3"/>
      <c r="R5" s="3"/>
      <c r="S5" s="3"/>
      <c r="T5" s="3"/>
      <c r="U5" s="3"/>
      <c r="V5" s="3"/>
      <c r="W5" s="3"/>
      <c r="X5" s="3"/>
      <c r="Y5" s="3"/>
      <c r="Z5" s="3"/>
    </row>
    <row r="6" customFormat="false" ht="15" hidden="false" customHeight="true" outlineLevel="0" collapsed="false">
      <c r="A6" s="10" t="n">
        <v>18</v>
      </c>
      <c r="B6" s="11" t="s">
        <v>17</v>
      </c>
      <c r="C6" s="10" t="s">
        <v>18</v>
      </c>
      <c r="D6" s="12" t="n">
        <f aca="false">SUMIFS('Hours Breakdown'!$G$5:$G$300,'Hours Breakdown'!$A$5:$A$300,A6,'Hours Breakdown'!$E$5:$E$300,"Core")</f>
        <v>160</v>
      </c>
      <c r="E6" s="12" t="n">
        <f aca="false">SUMIFS('Hours Breakdown'!$G$5:$G$300,'Hours Breakdown'!$A$5:$A$300,A6,'Hours Breakdown'!$E$5:$E$300,"Optional")</f>
        <v>100</v>
      </c>
      <c r="F6" s="12" t="n">
        <f aca="false">D6+E6</f>
        <v>260</v>
      </c>
      <c r="G6" s="12" t="n">
        <f aca="false">SUMIFS('Hours Breakdown'!$I$5:$I$300,'Hours Breakdown'!$A$5:$A$300,A6)</f>
        <v>260</v>
      </c>
      <c r="H6" s="12" t="n">
        <f aca="false">F6-G6</f>
        <v>0</v>
      </c>
      <c r="I6" s="13" t="s">
        <v>15</v>
      </c>
      <c r="J6" s="13" t="s">
        <v>16</v>
      </c>
      <c r="K6" s="3"/>
      <c r="L6" s="3"/>
      <c r="M6" s="3"/>
      <c r="N6" s="3"/>
      <c r="O6" s="3"/>
      <c r="P6" s="3"/>
      <c r="Q6" s="3"/>
      <c r="R6" s="3"/>
      <c r="S6" s="3"/>
      <c r="T6" s="3"/>
      <c r="U6" s="3"/>
      <c r="V6" s="3"/>
      <c r="W6" s="3"/>
      <c r="X6" s="3"/>
      <c r="Y6" s="3"/>
      <c r="Z6" s="3"/>
    </row>
    <row r="7" customFormat="false" ht="15" hidden="false" customHeight="true" outlineLevel="0" collapsed="false">
      <c r="A7" s="6" t="n">
        <v>19</v>
      </c>
      <c r="B7" s="7" t="s">
        <v>19</v>
      </c>
      <c r="C7" s="6" t="s">
        <v>20</v>
      </c>
      <c r="D7" s="8" t="n">
        <f aca="false">SUMIFS('Hours Breakdown'!$G$5:$G$300,'Hours Breakdown'!$A$5:$A$300,A7,'Hours Breakdown'!$E$5:$E$300,"Core")</f>
        <v>104</v>
      </c>
      <c r="E7" s="8" t="n">
        <f aca="false">SUMIFS('Hours Breakdown'!$G$5:$G$300,'Hours Breakdown'!$A$5:$A$300,A7,'Hours Breakdown'!$E$5:$E$300,"Optional")</f>
        <v>88</v>
      </c>
      <c r="F7" s="8" t="n">
        <f aca="false">D7+E7</f>
        <v>192</v>
      </c>
      <c r="G7" s="8" t="n">
        <f aca="false">SUMIFS('Hours Breakdown'!$I$5:$I$300,'Hours Breakdown'!$A$5:$A$300,A7)</f>
        <v>192</v>
      </c>
      <c r="H7" s="8" t="n">
        <f aca="false">F7-G7</f>
        <v>0</v>
      </c>
      <c r="I7" s="9" t="s">
        <v>15</v>
      </c>
      <c r="J7" s="9" t="s">
        <v>16</v>
      </c>
      <c r="K7" s="3"/>
      <c r="L7" s="3"/>
      <c r="M7" s="3"/>
      <c r="N7" s="3"/>
      <c r="O7" s="3"/>
      <c r="P7" s="3"/>
      <c r="Q7" s="3"/>
      <c r="R7" s="3"/>
      <c r="S7" s="3"/>
      <c r="T7" s="3"/>
      <c r="U7" s="3"/>
      <c r="V7" s="3"/>
      <c r="W7" s="3"/>
      <c r="X7" s="3"/>
      <c r="Y7" s="3"/>
      <c r="Z7" s="3"/>
    </row>
    <row r="8" customFormat="false" ht="15" hidden="false" customHeight="true" outlineLevel="0" collapsed="false">
      <c r="A8" s="10" t="n">
        <v>21</v>
      </c>
      <c r="B8" s="11" t="s">
        <v>21</v>
      </c>
      <c r="C8" s="10" t="s">
        <v>22</v>
      </c>
      <c r="D8" s="12" t="n">
        <f aca="false">SUMIFS('Hours Breakdown'!$G$5:$G$300,'Hours Breakdown'!$A$5:$A$300,A8,'Hours Breakdown'!$E$5:$E$300,"Core")</f>
        <v>80</v>
      </c>
      <c r="E8" s="12" t="n">
        <f aca="false">SUMIFS('Hours Breakdown'!$G$5:$G$300,'Hours Breakdown'!$A$5:$A$300,A8,'Hours Breakdown'!$E$5:$E$300,"Optional")</f>
        <v>64</v>
      </c>
      <c r="F8" s="12" t="n">
        <f aca="false">D8+E8</f>
        <v>144</v>
      </c>
      <c r="G8" s="12" t="n">
        <f aca="false">SUMIFS('Hours Breakdown'!$I$5:$I$300,'Hours Breakdown'!$A$5:$A$300,A8)</f>
        <v>144</v>
      </c>
      <c r="H8" s="12" t="n">
        <f aca="false">F8-G8</f>
        <v>0</v>
      </c>
      <c r="I8" s="14" t="s">
        <v>15</v>
      </c>
      <c r="J8" s="14" t="s">
        <v>23</v>
      </c>
      <c r="K8" s="3"/>
      <c r="L8" s="3"/>
      <c r="M8" s="3"/>
      <c r="N8" s="3"/>
      <c r="O8" s="3"/>
      <c r="P8" s="3"/>
      <c r="Q8" s="3"/>
      <c r="R8" s="3"/>
      <c r="S8" s="3"/>
      <c r="T8" s="3"/>
      <c r="U8" s="3"/>
      <c r="V8" s="3"/>
      <c r="W8" s="3"/>
      <c r="X8" s="3"/>
      <c r="Y8" s="3"/>
      <c r="Z8" s="3"/>
    </row>
    <row r="9" customFormat="false" ht="15" hidden="false" customHeight="true" outlineLevel="0" collapsed="false">
      <c r="A9" s="6" t="n">
        <v>22</v>
      </c>
      <c r="B9" s="7" t="s">
        <v>24</v>
      </c>
      <c r="C9" s="6" t="s">
        <v>14</v>
      </c>
      <c r="D9" s="8" t="n">
        <f aca="false">SUMIFS('Hours Breakdown'!$G$5:$G$300,'Hours Breakdown'!$A$5:$A$300,A9,'Hours Breakdown'!$E$5:$E$300,"Core")</f>
        <v>184</v>
      </c>
      <c r="E9" s="8" t="n">
        <f aca="false">SUMIFS('Hours Breakdown'!$G$5:$G$300,'Hours Breakdown'!$A$5:$A$300,A9,'Hours Breakdown'!$E$5:$E$300,"Optional")</f>
        <v>72</v>
      </c>
      <c r="F9" s="8" t="n">
        <f aca="false">D9+E9</f>
        <v>256</v>
      </c>
      <c r="G9" s="8" t="n">
        <f aca="false">SUMIFS('Hours Breakdown'!$I$5:$I$300,'Hours Breakdown'!$A$5:$A$300,A9)</f>
        <v>256</v>
      </c>
      <c r="H9" s="8" t="n">
        <f aca="false">F9-G9</f>
        <v>0</v>
      </c>
      <c r="I9" s="15" t="s">
        <v>15</v>
      </c>
      <c r="J9" s="15" t="s">
        <v>25</v>
      </c>
      <c r="K9" s="3"/>
      <c r="L9" s="3"/>
      <c r="M9" s="3"/>
      <c r="N9" s="3"/>
      <c r="O9" s="3"/>
      <c r="P9" s="3"/>
      <c r="Q9" s="3"/>
      <c r="R9" s="3"/>
      <c r="S9" s="3"/>
      <c r="T9" s="3"/>
      <c r="U9" s="3"/>
      <c r="V9" s="3"/>
      <c r="W9" s="3"/>
      <c r="X9" s="3"/>
      <c r="Y9" s="3"/>
      <c r="Z9" s="3"/>
    </row>
    <row r="10" customFormat="false" ht="15" hidden="false" customHeight="true" outlineLevel="0" collapsed="false">
      <c r="A10" s="10" t="n">
        <v>24</v>
      </c>
      <c r="B10" s="11" t="s">
        <v>26</v>
      </c>
      <c r="C10" s="10" t="s">
        <v>27</v>
      </c>
      <c r="D10" s="12" t="n">
        <f aca="false">SUMIFS('Hours Breakdown'!$G$5:$G$300,'Hours Breakdown'!$A$5:$A$300,A10,'Hours Breakdown'!$E$5:$E$300,"Core")</f>
        <v>136</v>
      </c>
      <c r="E10" s="12" t="n">
        <f aca="false">SUMIFS('Hours Breakdown'!$G$5:$G$300,'Hours Breakdown'!$A$5:$A$300,A10,'Hours Breakdown'!$E$5:$E$300,"Optional")</f>
        <v>96</v>
      </c>
      <c r="F10" s="12" t="n">
        <f aca="false">D10+E10</f>
        <v>232</v>
      </c>
      <c r="G10" s="12" t="n">
        <f aca="false">SUMIFS('Hours Breakdown'!$I$5:$I$300,'Hours Breakdown'!$A$5:$A$300,A10)</f>
        <v>232</v>
      </c>
      <c r="H10" s="12" t="n">
        <f aca="false">F10-G10</f>
        <v>0</v>
      </c>
      <c r="I10" s="13" t="s">
        <v>15</v>
      </c>
      <c r="J10" s="13" t="s">
        <v>16</v>
      </c>
      <c r="K10" s="3"/>
      <c r="L10" s="3"/>
      <c r="M10" s="3"/>
      <c r="N10" s="3"/>
      <c r="O10" s="3"/>
      <c r="P10" s="3"/>
      <c r="Q10" s="3"/>
      <c r="R10" s="3"/>
      <c r="S10" s="3"/>
      <c r="T10" s="3"/>
      <c r="U10" s="3"/>
      <c r="V10" s="3"/>
      <c r="W10" s="3"/>
      <c r="X10" s="3"/>
      <c r="Y10" s="3"/>
      <c r="Z10" s="3"/>
    </row>
    <row r="11" customFormat="false" ht="15" hidden="false" customHeight="true" outlineLevel="0" collapsed="false">
      <c r="A11" s="6" t="n">
        <v>25</v>
      </c>
      <c r="B11" s="7" t="s">
        <v>28</v>
      </c>
      <c r="C11" s="6" t="s">
        <v>18</v>
      </c>
      <c r="D11" s="8" t="n">
        <f aca="false">SUMIFS('Hours Breakdown'!$G$5:$G$300,'Hours Breakdown'!$A$5:$A$300,A11,'Hours Breakdown'!$E$5:$E$300,"Core")</f>
        <v>128</v>
      </c>
      <c r="E11" s="8" t="n">
        <f aca="false">SUMIFS('Hours Breakdown'!$G$5:$G$300,'Hours Breakdown'!$A$5:$A$300,A11,'Hours Breakdown'!$E$5:$E$300,"Optional")</f>
        <v>148</v>
      </c>
      <c r="F11" s="8" t="n">
        <f aca="false">D11+E11</f>
        <v>276</v>
      </c>
      <c r="G11" s="8" t="n">
        <f aca="false">SUMIFS('Hours Breakdown'!$I$5:$I$300,'Hours Breakdown'!$A$5:$A$300,A11)</f>
        <v>276</v>
      </c>
      <c r="H11" s="8" t="n">
        <f aca="false">F11-G11</f>
        <v>0</v>
      </c>
      <c r="I11" s="9" t="s">
        <v>15</v>
      </c>
      <c r="J11" s="9" t="s">
        <v>29</v>
      </c>
      <c r="K11" s="3"/>
      <c r="L11" s="3"/>
      <c r="M11" s="3"/>
      <c r="N11" s="3"/>
      <c r="O11" s="3"/>
      <c r="P11" s="3"/>
      <c r="Q11" s="3"/>
      <c r="R11" s="3"/>
      <c r="S11" s="3"/>
      <c r="T11" s="3"/>
      <c r="U11" s="3"/>
      <c r="V11" s="3"/>
      <c r="W11" s="3"/>
      <c r="X11" s="3"/>
      <c r="Y11" s="3"/>
      <c r="Z11" s="3"/>
    </row>
    <row r="12" customFormat="false" ht="15" hidden="false" customHeight="true" outlineLevel="0" collapsed="false">
      <c r="A12" s="10" t="n">
        <v>26</v>
      </c>
      <c r="B12" s="11" t="s">
        <v>30</v>
      </c>
      <c r="C12" s="10" t="s">
        <v>31</v>
      </c>
      <c r="D12" s="12" t="n">
        <f aca="false">SUMIFS('Hours Breakdown'!$G$5:$G$300,'Hours Breakdown'!$A$5:$A$300,A12,'Hours Breakdown'!$E$5:$E$300,"Core")</f>
        <v>52</v>
      </c>
      <c r="E12" s="12" t="n">
        <f aca="false">SUMIFS('Hours Breakdown'!$G$5:$G$300,'Hours Breakdown'!$A$5:$A$300,A12,'Hours Breakdown'!$E$5:$E$300,"Optional")</f>
        <v>76</v>
      </c>
      <c r="F12" s="12" t="n">
        <f aca="false">D12+E12</f>
        <v>128</v>
      </c>
      <c r="G12" s="12" t="n">
        <f aca="false">SUMIFS('Hours Breakdown'!$I$5:$I$300,'Hours Breakdown'!$A$5:$A$300,A12)</f>
        <v>128</v>
      </c>
      <c r="H12" s="12" t="n">
        <f aca="false">F12-G12</f>
        <v>0</v>
      </c>
      <c r="I12" s="13" t="s">
        <v>15</v>
      </c>
      <c r="J12" s="13" t="s">
        <v>29</v>
      </c>
      <c r="K12" s="3"/>
      <c r="L12" s="3"/>
      <c r="M12" s="3"/>
      <c r="N12" s="3"/>
      <c r="O12" s="3"/>
      <c r="P12" s="3"/>
      <c r="Q12" s="3"/>
      <c r="R12" s="3"/>
      <c r="S12" s="3"/>
      <c r="T12" s="3"/>
      <c r="U12" s="3"/>
      <c r="V12" s="3"/>
      <c r="W12" s="3"/>
      <c r="X12" s="3"/>
      <c r="Y12" s="3"/>
      <c r="Z12" s="3"/>
    </row>
    <row r="13" customFormat="false" ht="15" hidden="false" customHeight="true" outlineLevel="0" collapsed="false">
      <c r="A13" s="6" t="n">
        <v>27</v>
      </c>
      <c r="B13" s="7" t="s">
        <v>32</v>
      </c>
      <c r="C13" s="6" t="s">
        <v>31</v>
      </c>
      <c r="D13" s="8" t="n">
        <f aca="false">SUMIFS('Hours Breakdown'!$G$5:$G$300,'Hours Breakdown'!$A$5:$A$300,A13,'Hours Breakdown'!$E$5:$E$300,"Core")</f>
        <v>100</v>
      </c>
      <c r="E13" s="8" t="n">
        <f aca="false">SUMIFS('Hours Breakdown'!$G$5:$G$300,'Hours Breakdown'!$A$5:$A$300,A13,'Hours Breakdown'!$E$5:$E$300,"Optional")</f>
        <v>58</v>
      </c>
      <c r="F13" s="8" t="n">
        <f aca="false">D13+E13</f>
        <v>158</v>
      </c>
      <c r="G13" s="8" t="n">
        <f aca="false">SUMIFS('Hours Breakdown'!$I$5:$I$300,'Hours Breakdown'!$A$5:$A$300,A13)</f>
        <v>158</v>
      </c>
      <c r="H13" s="8" t="n">
        <f aca="false">F13-G13</f>
        <v>0</v>
      </c>
      <c r="I13" s="9" t="s">
        <v>15</v>
      </c>
      <c r="J13" s="9" t="s">
        <v>29</v>
      </c>
      <c r="K13" s="3"/>
      <c r="L13" s="3"/>
      <c r="M13" s="3"/>
      <c r="N13" s="3"/>
      <c r="O13" s="3"/>
      <c r="P13" s="3"/>
      <c r="Q13" s="3"/>
      <c r="R13" s="3"/>
      <c r="S13" s="3"/>
      <c r="T13" s="3"/>
      <c r="U13" s="3"/>
      <c r="V13" s="3"/>
      <c r="W13" s="3"/>
      <c r="X13" s="3"/>
      <c r="Y13" s="3"/>
      <c r="Z13" s="3"/>
    </row>
    <row r="14" customFormat="false" ht="15" hidden="false" customHeight="true" outlineLevel="0" collapsed="false">
      <c r="A14" s="10" t="n">
        <v>28</v>
      </c>
      <c r="B14" s="11" t="s">
        <v>33</v>
      </c>
      <c r="C14" s="10" t="s">
        <v>31</v>
      </c>
      <c r="D14" s="12" t="n">
        <f aca="false">SUMIFS('Hours Breakdown'!$G$5:$G$300,'Hours Breakdown'!$A$5:$A$300,A14,'Hours Breakdown'!$E$5:$E$300,"Core")</f>
        <v>88</v>
      </c>
      <c r="E14" s="12" t="n">
        <f aca="false">SUMIFS('Hours Breakdown'!$G$5:$G$300,'Hours Breakdown'!$A$5:$A$300,A14,'Hours Breakdown'!$E$5:$E$300,"Optional")</f>
        <v>76</v>
      </c>
      <c r="F14" s="12" t="n">
        <f aca="false">D14+E14</f>
        <v>164</v>
      </c>
      <c r="G14" s="12" t="n">
        <f aca="false">SUMIFS('Hours Breakdown'!$I$5:$I$300,'Hours Breakdown'!$A$5:$A$300,A14)</f>
        <v>164</v>
      </c>
      <c r="H14" s="12" t="n">
        <f aca="false">F14-G14</f>
        <v>0</v>
      </c>
      <c r="I14" s="13" t="s">
        <v>15</v>
      </c>
      <c r="J14" s="13" t="s">
        <v>29</v>
      </c>
      <c r="K14" s="3"/>
      <c r="L14" s="3"/>
      <c r="M14" s="3"/>
      <c r="N14" s="3"/>
      <c r="O14" s="3"/>
      <c r="P14" s="3"/>
      <c r="Q14" s="3"/>
      <c r="R14" s="3"/>
      <c r="S14" s="3"/>
      <c r="T14" s="3"/>
      <c r="U14" s="3"/>
      <c r="V14" s="3"/>
      <c r="W14" s="3"/>
      <c r="X14" s="3"/>
      <c r="Y14" s="3"/>
      <c r="Z14" s="3"/>
    </row>
    <row r="15" customFormat="false" ht="15" hidden="false" customHeight="true" outlineLevel="0" collapsed="false">
      <c r="A15" s="6" t="n">
        <v>29</v>
      </c>
      <c r="B15" s="7" t="s">
        <v>34</v>
      </c>
      <c r="C15" s="6" t="s">
        <v>35</v>
      </c>
      <c r="D15" s="8" t="n">
        <f aca="false">SUMIFS('Hours Breakdown'!$G$5:$G$300,'Hours Breakdown'!$A$5:$A$300,A15,'Hours Breakdown'!$E$5:$E$300,"Core")</f>
        <v>76</v>
      </c>
      <c r="E15" s="8" t="n">
        <f aca="false">SUMIFS('Hours Breakdown'!$G$5:$G$300,'Hours Breakdown'!$A$5:$A$300,A15,'Hours Breakdown'!$E$5:$E$300,"Optional")</f>
        <v>88</v>
      </c>
      <c r="F15" s="8" t="n">
        <f aca="false">D15+E15</f>
        <v>164</v>
      </c>
      <c r="G15" s="8" t="n">
        <f aca="false">SUMIFS('Hours Breakdown'!$I$5:$I$300,'Hours Breakdown'!$A$5:$A$300,A15)</f>
        <v>164</v>
      </c>
      <c r="H15" s="8" t="n">
        <f aca="false">F15-G15</f>
        <v>0</v>
      </c>
      <c r="I15" s="9" t="s">
        <v>15</v>
      </c>
      <c r="J15" s="9" t="s">
        <v>29</v>
      </c>
      <c r="K15" s="3"/>
      <c r="L15" s="3"/>
      <c r="M15" s="3"/>
      <c r="N15" s="3"/>
      <c r="O15" s="3"/>
      <c r="P15" s="3"/>
      <c r="Q15" s="3"/>
      <c r="R15" s="3"/>
      <c r="S15" s="3"/>
      <c r="T15" s="3"/>
      <c r="U15" s="3"/>
      <c r="V15" s="3"/>
      <c r="W15" s="3"/>
      <c r="X15" s="3"/>
      <c r="Y15" s="3"/>
      <c r="Z15" s="3"/>
    </row>
    <row r="16" customFormat="false" ht="15" hidden="false" customHeight="true" outlineLevel="0" collapsed="false">
      <c r="A16" s="10" t="n">
        <v>30</v>
      </c>
      <c r="B16" s="11" t="s">
        <v>36</v>
      </c>
      <c r="C16" s="10" t="s">
        <v>37</v>
      </c>
      <c r="D16" s="12" t="n">
        <f aca="false">SUMIFS('Hours Breakdown'!$G$5:$G$300,'Hours Breakdown'!$A$5:$A$300,A16,'Hours Breakdown'!$E$5:$E$300,"Core")</f>
        <v>80</v>
      </c>
      <c r="E16" s="12" t="n">
        <f aca="false">SUMIFS('Hours Breakdown'!$G$5:$G$300,'Hours Breakdown'!$A$5:$A$300,A16,'Hours Breakdown'!$E$5:$E$300,"Optional")</f>
        <v>60</v>
      </c>
      <c r="F16" s="12" t="n">
        <f aca="false">D16+E16</f>
        <v>140</v>
      </c>
      <c r="G16" s="12" t="n">
        <f aca="false">SUMIFS('Hours Breakdown'!$I$5:$I$300,'Hours Breakdown'!$A$5:$A$300,A16)</f>
        <v>140</v>
      </c>
      <c r="H16" s="12" t="n">
        <f aca="false">F16-G16</f>
        <v>0</v>
      </c>
      <c r="I16" s="14" t="s">
        <v>15</v>
      </c>
      <c r="J16" s="14" t="s">
        <v>23</v>
      </c>
      <c r="K16" s="3"/>
      <c r="L16" s="3"/>
      <c r="M16" s="3"/>
      <c r="N16" s="3"/>
      <c r="O16" s="3"/>
      <c r="P16" s="3"/>
      <c r="Q16" s="3"/>
      <c r="R16" s="3"/>
      <c r="S16" s="3"/>
      <c r="T16" s="3"/>
      <c r="U16" s="3"/>
      <c r="V16" s="3"/>
      <c r="W16" s="3"/>
      <c r="X16" s="3"/>
      <c r="Y16" s="3"/>
      <c r="Z16" s="3"/>
    </row>
    <row r="17" customFormat="false" ht="15" hidden="false" customHeight="true" outlineLevel="0" collapsed="false">
      <c r="A17" s="6" t="n">
        <v>33</v>
      </c>
      <c r="B17" s="7" t="s">
        <v>38</v>
      </c>
      <c r="C17" s="6" t="s">
        <v>39</v>
      </c>
      <c r="D17" s="8" t="n">
        <f aca="false">SUMIFS('Hours Breakdown'!$G$5:$G$300,'Hours Breakdown'!$A$5:$A$300,A17,'Hours Breakdown'!$E$5:$E$300,"Core")</f>
        <v>176</v>
      </c>
      <c r="E17" s="8" t="n">
        <f aca="false">SUMIFS('Hours Breakdown'!$G$5:$G$300,'Hours Breakdown'!$A$5:$A$300,A17,'Hours Breakdown'!$E$5:$E$300,"Optional")</f>
        <v>72</v>
      </c>
      <c r="F17" s="8" t="n">
        <f aca="false">D17+E17</f>
        <v>248</v>
      </c>
      <c r="G17" s="8" t="n">
        <f aca="false">SUMIFS('Hours Breakdown'!$I$5:$I$300,'Hours Breakdown'!$A$5:$A$300,A17)</f>
        <v>248</v>
      </c>
      <c r="H17" s="8" t="n">
        <f aca="false">F17-G17</f>
        <v>0</v>
      </c>
      <c r="I17" s="15" t="s">
        <v>15</v>
      </c>
      <c r="J17" s="15" t="s">
        <v>25</v>
      </c>
      <c r="K17" s="3"/>
      <c r="L17" s="3"/>
      <c r="M17" s="3"/>
      <c r="N17" s="3"/>
      <c r="O17" s="3"/>
      <c r="P17" s="3"/>
      <c r="Q17" s="3"/>
      <c r="R17" s="3"/>
      <c r="S17" s="3"/>
      <c r="T17" s="3"/>
      <c r="U17" s="3"/>
      <c r="V17" s="3"/>
      <c r="W17" s="3"/>
      <c r="X17" s="3"/>
      <c r="Y17" s="3"/>
      <c r="Z17" s="3"/>
    </row>
    <row r="18" customFormat="false" ht="15" hidden="false" customHeight="true" outlineLevel="0" collapsed="false">
      <c r="A18" s="10" t="n">
        <v>34</v>
      </c>
      <c r="B18" s="11" t="s">
        <v>40</v>
      </c>
      <c r="C18" s="10" t="s">
        <v>31</v>
      </c>
      <c r="D18" s="12" t="n">
        <f aca="false">SUMIFS('Hours Breakdown'!$G$5:$G$300,'Hours Breakdown'!$A$5:$A$300,A18,'Hours Breakdown'!$E$5:$E$300,"Core")</f>
        <v>128</v>
      </c>
      <c r="E18" s="12" t="n">
        <f aca="false">SUMIFS('Hours Breakdown'!$G$5:$G$300,'Hours Breakdown'!$A$5:$A$300,A18,'Hours Breakdown'!$E$5:$E$300,"Optional")</f>
        <v>96</v>
      </c>
      <c r="F18" s="12" t="n">
        <f aca="false">D18+E18</f>
        <v>224</v>
      </c>
      <c r="G18" s="12" t="n">
        <f aca="false">SUMIFS('Hours Breakdown'!$I$5:$I$300,'Hours Breakdown'!$A$5:$A$300,A18)</f>
        <v>224</v>
      </c>
      <c r="H18" s="12" t="n">
        <f aca="false">F18-G18</f>
        <v>0</v>
      </c>
      <c r="I18" s="14" t="s">
        <v>15</v>
      </c>
      <c r="J18" s="14" t="s">
        <v>23</v>
      </c>
      <c r="K18" s="3"/>
      <c r="L18" s="3"/>
      <c r="M18" s="3"/>
      <c r="N18" s="3"/>
      <c r="O18" s="3"/>
      <c r="P18" s="3"/>
      <c r="Q18" s="3"/>
      <c r="R18" s="3"/>
      <c r="S18" s="3"/>
      <c r="T18" s="3"/>
      <c r="U18" s="3"/>
      <c r="V18" s="3"/>
      <c r="W18" s="3"/>
      <c r="X18" s="3"/>
      <c r="Y18" s="3"/>
      <c r="Z18" s="3"/>
    </row>
    <row r="19" customFormat="false" ht="15" hidden="false" customHeight="true" outlineLevel="0" collapsed="false">
      <c r="A19" s="3"/>
      <c r="B19" s="16" t="s">
        <v>41</v>
      </c>
      <c r="C19" s="3"/>
      <c r="D19" s="17" t="n">
        <f aca="false">SUM(D5:D18)</f>
        <v>1636</v>
      </c>
      <c r="E19" s="17" t="n">
        <f aca="false">SUM(E5:E18)</f>
        <v>1142</v>
      </c>
      <c r="F19" s="17" t="n">
        <f aca="false">SUM(F5:F18)</f>
        <v>2778</v>
      </c>
      <c r="G19" s="18" t="n">
        <f aca="false">SUM(G5:G18)</f>
        <v>2778</v>
      </c>
      <c r="H19" s="17" t="n">
        <f aca="false">SUM(H5:H18)</f>
        <v>0</v>
      </c>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19" t="s">
        <v>42</v>
      </c>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27.75" hidden="false" customHeight="true" outlineLevel="0" collapsed="false">
      <c r="A22" s="20" t="s">
        <v>43</v>
      </c>
      <c r="B22" s="20"/>
      <c r="C22" s="20"/>
      <c r="D22" s="20"/>
      <c r="E22" s="20"/>
      <c r="F22" s="20"/>
      <c r="G22" s="20"/>
      <c r="H22" s="20"/>
      <c r="I22" s="20"/>
      <c r="J22" s="3"/>
      <c r="K22" s="3"/>
      <c r="L22" s="3"/>
      <c r="M22" s="3"/>
      <c r="N22" s="3"/>
      <c r="O22" s="3"/>
      <c r="P22" s="3"/>
      <c r="Q22" s="3"/>
      <c r="R22" s="3"/>
      <c r="S22" s="3"/>
      <c r="T22" s="3"/>
      <c r="U22" s="3"/>
      <c r="V22" s="3"/>
      <c r="W22" s="3"/>
      <c r="X22" s="3"/>
      <c r="Y22" s="3"/>
      <c r="Z22" s="3"/>
    </row>
    <row r="23" customFormat="false" ht="27.75" hidden="false" customHeight="true" outlineLevel="0" collapsed="false">
      <c r="A23" s="20" t="s">
        <v>44</v>
      </c>
      <c r="B23" s="20"/>
      <c r="C23" s="20"/>
      <c r="D23" s="20"/>
      <c r="E23" s="20"/>
      <c r="F23" s="20"/>
      <c r="G23" s="20"/>
      <c r="H23" s="20"/>
      <c r="I23" s="20"/>
      <c r="J23" s="3"/>
      <c r="K23" s="3"/>
      <c r="L23" s="3"/>
      <c r="M23" s="3"/>
      <c r="N23" s="3"/>
      <c r="O23" s="3"/>
      <c r="P23" s="3"/>
      <c r="Q23" s="3"/>
      <c r="R23" s="3"/>
      <c r="S23" s="3"/>
      <c r="T23" s="3"/>
      <c r="U23" s="3"/>
      <c r="V23" s="3"/>
      <c r="W23" s="3"/>
      <c r="X23" s="3"/>
      <c r="Y23" s="3"/>
      <c r="Z23" s="3"/>
    </row>
    <row r="24" customFormat="false" ht="27.75" hidden="false" customHeight="true" outlineLevel="0" collapsed="false">
      <c r="A24" s="20" t="s">
        <v>45</v>
      </c>
      <c r="B24" s="20"/>
      <c r="C24" s="20"/>
      <c r="D24" s="20"/>
      <c r="E24" s="20"/>
      <c r="F24" s="20"/>
      <c r="G24" s="20"/>
      <c r="H24" s="20"/>
      <c r="I24" s="20"/>
      <c r="J24" s="3"/>
      <c r="K24" s="3"/>
      <c r="L24" s="3"/>
      <c r="M24" s="3"/>
      <c r="N24" s="3"/>
      <c r="O24" s="3"/>
      <c r="P24" s="3"/>
      <c r="Q24" s="3"/>
      <c r="R24" s="3"/>
      <c r="S24" s="3"/>
      <c r="T24" s="3"/>
      <c r="U24" s="3"/>
      <c r="V24" s="3"/>
      <c r="W24" s="3"/>
      <c r="X24" s="3"/>
      <c r="Y24" s="3"/>
      <c r="Z24" s="3"/>
    </row>
    <row r="25" customFormat="false" ht="27.75" hidden="false" customHeight="true" outlineLevel="0" collapsed="false">
      <c r="A25" s="20" t="s">
        <v>46</v>
      </c>
      <c r="B25" s="20"/>
      <c r="C25" s="20"/>
      <c r="D25" s="20"/>
      <c r="E25" s="20"/>
      <c r="F25" s="20"/>
      <c r="G25" s="20"/>
      <c r="H25" s="20"/>
      <c r="I25" s="20"/>
      <c r="J25" s="3"/>
      <c r="K25" s="3"/>
      <c r="L25" s="3"/>
      <c r="M25" s="3"/>
      <c r="N25" s="3"/>
      <c r="O25" s="3"/>
      <c r="P25" s="3"/>
      <c r="Q25" s="3"/>
      <c r="R25" s="3"/>
      <c r="S25" s="3"/>
      <c r="T25" s="3"/>
      <c r="U25" s="3"/>
      <c r="V25" s="3"/>
      <c r="W25" s="3"/>
      <c r="X25" s="3"/>
      <c r="Y25" s="3"/>
      <c r="Z25" s="3"/>
    </row>
    <row r="26" customFormat="false" ht="27.75" hidden="false" customHeight="true" outlineLevel="0" collapsed="false">
      <c r="A26" s="20" t="s">
        <v>47</v>
      </c>
      <c r="B26" s="20"/>
      <c r="C26" s="20"/>
      <c r="D26" s="20"/>
      <c r="E26" s="20"/>
      <c r="F26" s="20"/>
      <c r="G26" s="20"/>
      <c r="H26" s="20"/>
      <c r="I26" s="20"/>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19" t="s">
        <v>48</v>
      </c>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5" t="s">
        <v>3</v>
      </c>
      <c r="B29" s="5" t="s">
        <v>4</v>
      </c>
      <c r="C29" s="5" t="s">
        <v>5</v>
      </c>
      <c r="D29" s="5" t="s">
        <v>49</v>
      </c>
      <c r="E29" s="5"/>
      <c r="F29" s="5"/>
      <c r="G29" s="5" t="s">
        <v>9</v>
      </c>
      <c r="H29" s="5"/>
      <c r="I29" s="5" t="s">
        <v>50</v>
      </c>
      <c r="J29" s="3"/>
      <c r="K29" s="3"/>
      <c r="L29" s="3"/>
      <c r="M29" s="3"/>
      <c r="N29" s="3"/>
      <c r="O29" s="3"/>
      <c r="P29" s="3"/>
      <c r="Q29" s="3"/>
      <c r="R29" s="3"/>
      <c r="S29" s="3"/>
      <c r="T29" s="3"/>
      <c r="U29" s="3"/>
      <c r="V29" s="3"/>
      <c r="W29" s="3"/>
      <c r="X29" s="3"/>
      <c r="Y29" s="3"/>
      <c r="Z29" s="3"/>
    </row>
    <row r="30" customFormat="false" ht="15.75" hidden="false" customHeight="true" outlineLevel="0" collapsed="false">
      <c r="A30" s="6" t="n">
        <v>15</v>
      </c>
      <c r="B30" s="7" t="s">
        <v>51</v>
      </c>
      <c r="C30" s="6" t="s">
        <v>52</v>
      </c>
      <c r="D30" s="8" t="n">
        <f aca="false">SUMIFS('Hours Breakdown'!$G$232:$G$300,'Hours Breakdown'!$A$232:$A$300,A30)</f>
        <v>16</v>
      </c>
      <c r="E30" s="8"/>
      <c r="F30" s="8"/>
      <c r="G30" s="8" t="n">
        <f aca="false">SUMIFS('Hours Breakdown'!$I$232:$I$300,'Hours Breakdown'!$A$232:$A$300,A30)</f>
        <v>0</v>
      </c>
      <c r="H30" s="8"/>
      <c r="I30" s="9" t="s">
        <v>53</v>
      </c>
      <c r="J30" s="9" t="s">
        <v>16</v>
      </c>
      <c r="K30" s="3"/>
      <c r="L30" s="3"/>
      <c r="M30" s="3"/>
      <c r="N30" s="3"/>
      <c r="O30" s="3"/>
      <c r="P30" s="3"/>
      <c r="Q30" s="3"/>
      <c r="R30" s="3"/>
      <c r="S30" s="3"/>
      <c r="T30" s="3"/>
      <c r="U30" s="3"/>
      <c r="V30" s="3"/>
      <c r="W30" s="3"/>
      <c r="X30" s="3"/>
      <c r="Y30" s="3"/>
      <c r="Z30" s="3"/>
    </row>
    <row r="31" customFormat="false" ht="15.75" hidden="false" customHeight="true" outlineLevel="0" collapsed="false">
      <c r="A31" s="6" t="n">
        <v>16</v>
      </c>
      <c r="B31" s="7" t="s">
        <v>54</v>
      </c>
      <c r="C31" s="6" t="s">
        <v>55</v>
      </c>
      <c r="D31" s="8" t="n">
        <f aca="false">SUMIFS('Hours Breakdown'!$G$232:$G$300,'Hours Breakdown'!$A$232:$A$300,A31)</f>
        <v>40</v>
      </c>
      <c r="E31" s="8"/>
      <c r="F31" s="8"/>
      <c r="G31" s="8" t="n">
        <f aca="false">SUMIFS('Hours Breakdown'!$I$232:$I$300,'Hours Breakdown'!$A$232:$A$300,A31)</f>
        <v>0</v>
      </c>
      <c r="H31" s="8"/>
      <c r="I31" s="9" t="s">
        <v>56</v>
      </c>
      <c r="J31" s="9" t="s">
        <v>16</v>
      </c>
      <c r="K31" s="3"/>
      <c r="L31" s="3"/>
      <c r="M31" s="3"/>
      <c r="N31" s="3"/>
      <c r="O31" s="3"/>
      <c r="P31" s="3"/>
      <c r="Q31" s="3"/>
      <c r="R31" s="3"/>
      <c r="S31" s="3"/>
      <c r="T31" s="3"/>
      <c r="U31" s="3"/>
      <c r="V31" s="3"/>
      <c r="W31" s="3"/>
      <c r="X31" s="3"/>
      <c r="Y31" s="3"/>
      <c r="Z31" s="3"/>
    </row>
    <row r="32" customFormat="false" ht="15.75" hidden="false" customHeight="true" outlineLevel="0" collapsed="false">
      <c r="A32" s="6" t="n">
        <v>17</v>
      </c>
      <c r="B32" s="7" t="s">
        <v>57</v>
      </c>
      <c r="C32" s="6" t="s">
        <v>58</v>
      </c>
      <c r="D32" s="8" t="n">
        <f aca="false">SUMIFS('Hours Breakdown'!$G$232:$G$300,'Hours Breakdown'!$A$232:$A$300,A32)</f>
        <v>32</v>
      </c>
      <c r="E32" s="8"/>
      <c r="F32" s="8"/>
      <c r="G32" s="8" t="n">
        <f aca="false">SUMIFS('Hours Breakdown'!$I$232:$I$300,'Hours Breakdown'!$A$232:$A$300,A32)</f>
        <v>0</v>
      </c>
      <c r="H32" s="8"/>
      <c r="I32" s="9" t="s">
        <v>56</v>
      </c>
      <c r="J32" s="9" t="s">
        <v>16</v>
      </c>
      <c r="K32" s="3"/>
      <c r="L32" s="3"/>
      <c r="M32" s="3"/>
      <c r="N32" s="3"/>
      <c r="O32" s="3"/>
      <c r="P32" s="3"/>
      <c r="Q32" s="3"/>
      <c r="R32" s="3"/>
      <c r="S32" s="3"/>
      <c r="T32" s="3"/>
      <c r="U32" s="3"/>
      <c r="V32" s="3"/>
      <c r="W32" s="3"/>
      <c r="X32" s="3"/>
      <c r="Y32" s="3"/>
      <c r="Z32" s="3"/>
    </row>
    <row r="33" customFormat="false" ht="15.75" hidden="false" customHeight="true" outlineLevel="0" collapsed="false">
      <c r="A33" s="6" t="n">
        <v>20</v>
      </c>
      <c r="B33" s="7" t="s">
        <v>59</v>
      </c>
      <c r="C33" s="6" t="s">
        <v>60</v>
      </c>
      <c r="D33" s="8" t="n">
        <f aca="false">SUMIFS('Hours Breakdown'!$G$232:$G$300,'Hours Breakdown'!$A$232:$A$300,A33)</f>
        <v>32</v>
      </c>
      <c r="E33" s="8"/>
      <c r="F33" s="8"/>
      <c r="G33" s="8" t="n">
        <f aca="false">SUMIFS('Hours Breakdown'!$I$232:$I$300,'Hours Breakdown'!$A$232:$A$300,A33)</f>
        <v>0</v>
      </c>
      <c r="H33" s="8"/>
      <c r="I33" s="9" t="s">
        <v>56</v>
      </c>
      <c r="J33" s="9" t="s">
        <v>29</v>
      </c>
      <c r="K33" s="3"/>
      <c r="L33" s="3"/>
      <c r="M33" s="3"/>
      <c r="N33" s="3"/>
      <c r="O33" s="3"/>
      <c r="P33" s="3"/>
      <c r="Q33" s="3"/>
      <c r="R33" s="3"/>
      <c r="S33" s="3"/>
      <c r="T33" s="3"/>
      <c r="U33" s="3"/>
      <c r="V33" s="3"/>
      <c r="W33" s="3"/>
      <c r="X33" s="3"/>
      <c r="Y33" s="3"/>
      <c r="Z33" s="3"/>
    </row>
    <row r="34" customFormat="false" ht="15.75" hidden="false" customHeight="true" outlineLevel="0" collapsed="false">
      <c r="A34" s="3"/>
      <c r="B34" s="16" t="s">
        <v>61</v>
      </c>
      <c r="C34" s="3"/>
      <c r="D34" s="17" t="n">
        <f aca="false">SUM(D30:D33)</f>
        <v>120</v>
      </c>
      <c r="E34" s="17"/>
      <c r="F34" s="17"/>
      <c r="G34" s="18" t="n">
        <f aca="false">SUM(G30:G33)</f>
        <v>0</v>
      </c>
      <c r="H34" s="17"/>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16" t="s">
        <v>62</v>
      </c>
      <c r="C36" s="3"/>
      <c r="D36" s="17"/>
      <c r="E36" s="17"/>
      <c r="F36" s="17"/>
      <c r="G36" s="18" t="n">
        <f aca="false">G19+G34</f>
        <v>2778</v>
      </c>
      <c r="H36" s="17"/>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2:I22"/>
    <mergeCell ref="A23:I23"/>
    <mergeCell ref="A24:I24"/>
    <mergeCell ref="A25:I25"/>
    <mergeCell ref="A26:I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6"/>
    <col collapsed="false" customWidth="true" hidden="false" outlineLevel="0" max="3" min="3" style="1" width="44"/>
    <col collapsed="false" customWidth="true" hidden="false" outlineLevel="0" max="4" min="4" style="1" width="14"/>
    <col collapsed="false" customWidth="true" hidden="false" outlineLevel="0" max="6" min="5" style="1" width="12"/>
    <col collapsed="false" customWidth="true" hidden="false" outlineLevel="0" max="7" min="7" style="1" width="8"/>
    <col collapsed="false" customWidth="true" hidden="false" outlineLevel="0" max="10" min="8" style="1" width="14"/>
  </cols>
  <sheetData>
    <row r="1" customFormat="false" ht="17.25" hidden="false" customHeight="true" outlineLevel="0" collapsed="false">
      <c r="A1" s="21" t="s">
        <v>63</v>
      </c>
    </row>
    <row r="2" customFormat="false" ht="15" hidden="false" customHeight="true" outlineLevel="0" collapsed="false">
      <c r="A2" s="22" t="s">
        <v>64</v>
      </c>
    </row>
    <row r="4" customFormat="false" ht="15" hidden="false" customHeight="true" outlineLevel="0" collapsed="false">
      <c r="A4" s="23" t="s">
        <v>65</v>
      </c>
    </row>
    <row r="5" customFormat="false" ht="15" hidden="false" customHeight="true" outlineLevel="0" collapsed="false">
      <c r="A5" s="24" t="s">
        <v>66</v>
      </c>
      <c r="B5" s="25" t="n">
        <v>46314</v>
      </c>
    </row>
    <row r="6" customFormat="false" ht="15" hidden="false" customHeight="true" outlineLevel="0" collapsed="false">
      <c r="A6" s="24" t="s">
        <v>67</v>
      </c>
      <c r="B6" s="26" t="n">
        <v>3</v>
      </c>
    </row>
    <row r="7" customFormat="false" ht="15" hidden="false" customHeight="true" outlineLevel="0" collapsed="false">
      <c r="A7" s="24" t="s">
        <v>68</v>
      </c>
      <c r="B7" s="26" t="n">
        <v>32</v>
      </c>
    </row>
    <row r="8" customFormat="false" ht="15" hidden="false" customHeight="true" outlineLevel="0" collapsed="false">
      <c r="A8" s="24" t="s">
        <v>69</v>
      </c>
      <c r="B8" s="27" t="n">
        <v>0.2</v>
      </c>
    </row>
    <row r="9" customFormat="false" ht="15" hidden="false" customHeight="true" outlineLevel="0" collapsed="false">
      <c r="A9" s="24" t="s">
        <v>70</v>
      </c>
      <c r="B9" s="27" t="n">
        <v>0.1</v>
      </c>
    </row>
    <row r="10" customFormat="false" ht="15" hidden="false" customHeight="true" outlineLevel="0" collapsed="false">
      <c r="A10" s="24" t="s">
        <v>71</v>
      </c>
      <c r="B10" s="26" t="n">
        <v>80</v>
      </c>
    </row>
    <row r="11" customFormat="false" ht="15" hidden="false" customHeight="true" outlineLevel="0" collapsed="false">
      <c r="A11" s="24" t="s">
        <v>72</v>
      </c>
      <c r="B11" s="26" t="n">
        <v>2</v>
      </c>
    </row>
    <row r="12" customFormat="false" ht="15" hidden="false" customHeight="true" outlineLevel="0" collapsed="false">
      <c r="A12" s="24" t="s">
        <v>73</v>
      </c>
      <c r="B12" s="28"/>
      <c r="C12" s="29" t="s">
        <v>74</v>
      </c>
    </row>
    <row r="14" customFormat="false" ht="15" hidden="false" customHeight="true" outlineLevel="0" collapsed="false">
      <c r="A14" s="23" t="s">
        <v>75</v>
      </c>
      <c r="B14" s="23" t="n">
        <f aca="false">B6*B7</f>
        <v>96</v>
      </c>
    </row>
    <row r="16" customFormat="false" ht="26.25" hidden="false" customHeight="true" outlineLevel="0" collapsed="false">
      <c r="A16" s="30" t="s">
        <v>76</v>
      </c>
      <c r="B16" s="30" t="s">
        <v>77</v>
      </c>
      <c r="C16" s="30" t="s">
        <v>78</v>
      </c>
      <c r="D16" s="30" t="s">
        <v>79</v>
      </c>
      <c r="E16" s="30" t="s">
        <v>80</v>
      </c>
      <c r="F16" s="30" t="s">
        <v>81</v>
      </c>
      <c r="G16" s="30" t="s">
        <v>82</v>
      </c>
      <c r="H16" s="30" t="s">
        <v>83</v>
      </c>
      <c r="I16" s="30" t="s">
        <v>84</v>
      </c>
      <c r="J16" s="30" t="s">
        <v>85</v>
      </c>
    </row>
    <row r="17" customFormat="false" ht="26.25" hidden="false" customHeight="true" outlineLevel="0" collapsed="false">
      <c r="A17" s="31" t="s">
        <v>16</v>
      </c>
      <c r="B17" s="31" t="s">
        <v>86</v>
      </c>
      <c r="C17" s="31" t="s">
        <v>87</v>
      </c>
      <c r="D17" s="31" t="n">
        <f aca="false">SUMIFS(Summary!$G$5:$G$18,Summary!$J$5:$J$18,A17)+SUMIFS(Summary!$G$30:$G$33,Summary!$J$30:$J$33,A17)</f>
        <v>876</v>
      </c>
      <c r="E17" s="31" t="n">
        <f aca="false">ROUND(D17*($B$8+$B$9),0)</f>
        <v>263</v>
      </c>
      <c r="F17" s="31" t="n">
        <f aca="false">D17+E17</f>
        <v>1139</v>
      </c>
      <c r="G17" s="31" t="n">
        <f aca="false">IF(D17=0,0,ROUNDUP(D17/$B$14,0))</f>
        <v>10</v>
      </c>
      <c r="H17" s="32" t="n">
        <f aca="false">B5</f>
        <v>46314</v>
      </c>
      <c r="I17" s="32" t="n">
        <f aca="false">H17+G17*7</f>
        <v>46384</v>
      </c>
      <c r="J17" s="33" t="str">
        <f aca="false">IF($B$12="","Enter rate",F17*$B$12)</f>
        <v>Enter rate</v>
      </c>
    </row>
    <row r="18" customFormat="false" ht="26.25" hidden="false" customHeight="true" outlineLevel="0" collapsed="false">
      <c r="A18" s="31" t="s">
        <v>29</v>
      </c>
      <c r="B18" s="31" t="s">
        <v>88</v>
      </c>
      <c r="C18" s="31" t="s">
        <v>89</v>
      </c>
      <c r="D18" s="31" t="n">
        <f aca="false">SUMIFS(Summary!$G$5:$G$18,Summary!$J$5:$J$18,A18)+SUMIFS(Summary!$G$30:$G$33,Summary!$J$30:$J$33,A18)</f>
        <v>890</v>
      </c>
      <c r="E18" s="31" t="n">
        <f aca="false">ROUND(D18*($B$8+$B$9),0)</f>
        <v>267</v>
      </c>
      <c r="F18" s="31" t="n">
        <f aca="false">D18+E18</f>
        <v>1157</v>
      </c>
      <c r="G18" s="31" t="n">
        <f aca="false">IF(D18=0,0,ROUNDUP(D18/$B$14,0))</f>
        <v>10</v>
      </c>
      <c r="H18" s="32" t="n">
        <f aca="false">I17</f>
        <v>46384</v>
      </c>
      <c r="I18" s="32" t="n">
        <f aca="false">H18+G18*7</f>
        <v>46454</v>
      </c>
      <c r="J18" s="33" t="str">
        <f aca="false">IF($B$12="","Enter rate",F18*$B$12)</f>
        <v>Enter rate</v>
      </c>
    </row>
    <row r="19" customFormat="false" ht="26.25" hidden="false" customHeight="true" outlineLevel="0" collapsed="false">
      <c r="A19" s="31" t="s">
        <v>25</v>
      </c>
      <c r="B19" s="31" t="s">
        <v>90</v>
      </c>
      <c r="C19" s="31" t="s">
        <v>91</v>
      </c>
      <c r="D19" s="31" t="n">
        <f aca="false">SUMIFS(Summary!$G$5:$G$18,Summary!$J$5:$J$18,A19)+SUMIFS(Summary!$G$30:$G$33,Summary!$J$30:$J$33,A19)</f>
        <v>504</v>
      </c>
      <c r="E19" s="31" t="n">
        <f aca="false">ROUND(D19*($B$8+$B$9),0)</f>
        <v>151</v>
      </c>
      <c r="F19" s="31" t="n">
        <f aca="false">D19+E19</f>
        <v>655</v>
      </c>
      <c r="G19" s="31" t="n">
        <f aca="false">IF(D19=0,0,ROUNDUP(D19/$B$14,0))</f>
        <v>6</v>
      </c>
      <c r="H19" s="32" t="n">
        <f aca="false">I18</f>
        <v>46454</v>
      </c>
      <c r="I19" s="32" t="n">
        <f aca="false">H19+G19*7</f>
        <v>46496</v>
      </c>
      <c r="J19" s="33" t="str">
        <f aca="false">IF($B$12="","Enter rate",F19*$B$12)</f>
        <v>Enter rate</v>
      </c>
    </row>
    <row r="20" customFormat="false" ht="26.25" hidden="false" customHeight="true" outlineLevel="0" collapsed="false">
      <c r="A20" s="31" t="s">
        <v>23</v>
      </c>
      <c r="B20" s="31" t="s">
        <v>92</v>
      </c>
      <c r="C20" s="31" t="s">
        <v>93</v>
      </c>
      <c r="D20" s="31" t="n">
        <f aca="false">SUMIFS(Summary!$G$5:$G$18,Summary!$J$5:$J$18,A20)+SUMIFS(Summary!$G$30:$G$33,Summary!$J$30:$J$33,A20)</f>
        <v>508</v>
      </c>
      <c r="E20" s="31" t="n">
        <f aca="false">ROUND(D20*($B$8+$B$9),0)</f>
        <v>152</v>
      </c>
      <c r="F20" s="31" t="n">
        <f aca="false">D20+E20</f>
        <v>660</v>
      </c>
      <c r="G20" s="31" t="n">
        <f aca="false">IF(D20=0,0,ROUNDUP(D20/$B$14,0))</f>
        <v>6</v>
      </c>
      <c r="H20" s="32" t="n">
        <f aca="false">I19</f>
        <v>46496</v>
      </c>
      <c r="I20" s="32" t="n">
        <f aca="false">H20+G20*7</f>
        <v>46538</v>
      </c>
      <c r="J20" s="33" t="str">
        <f aca="false">IF($B$12="","Enter rate",F20*$B$12)</f>
        <v>Enter rate</v>
      </c>
    </row>
    <row r="21" customFormat="false" ht="26.25" hidden="false" customHeight="true" outlineLevel="0" collapsed="false">
      <c r="A21" s="31" t="s">
        <v>94</v>
      </c>
      <c r="B21" s="31"/>
      <c r="C21" s="31" t="s">
        <v>95</v>
      </c>
      <c r="D21" s="31"/>
      <c r="E21" s="31" t="n">
        <f aca="false">B10</f>
        <v>80</v>
      </c>
      <c r="F21" s="31" t="n">
        <f aca="false">E21</f>
        <v>80</v>
      </c>
      <c r="G21" s="31" t="n">
        <f aca="false">B11</f>
        <v>2</v>
      </c>
      <c r="H21" s="32" t="n">
        <f aca="false">I20</f>
        <v>46538</v>
      </c>
      <c r="I21" s="32" t="n">
        <f aca="false">H21+G21*7</f>
        <v>46552</v>
      </c>
      <c r="J21" s="33" t="str">
        <f aca="false">IF($B$12="","Enter rate",F21*$B$12)</f>
        <v>Enter rate</v>
      </c>
    </row>
    <row r="22" customFormat="false" ht="15" hidden="false" customHeight="true" outlineLevel="0" collapsed="false">
      <c r="A22" s="34" t="s">
        <v>96</v>
      </c>
      <c r="B22" s="34"/>
      <c r="C22" s="34"/>
      <c r="D22" s="34" t="n">
        <f aca="false">SUM(D17:D21)</f>
        <v>2778</v>
      </c>
      <c r="E22" s="34" t="n">
        <f aca="false">SUM(E17:E21)</f>
        <v>913</v>
      </c>
      <c r="F22" s="34" t="n">
        <f aca="false">SUM(F17:F21)</f>
        <v>3691</v>
      </c>
      <c r="G22" s="34" t="n">
        <f aca="false">SUM(G17:G21)</f>
        <v>34</v>
      </c>
      <c r="H22" s="35" t="n">
        <f aca="false">H17</f>
        <v>46314</v>
      </c>
      <c r="I22" s="35" t="n">
        <f aca="false">I21</f>
        <v>46552</v>
      </c>
      <c r="J22" s="36" t="str">
        <f aca="false">IF($B$12="","Enter rate",F22*$B$12)</f>
        <v>Enter rate</v>
      </c>
    </row>
    <row r="23" customFormat="false" ht="15" hidden="false" customHeight="true" outlineLevel="0" collapsed="false">
      <c r="A23" s="29" t="s">
        <v>97</v>
      </c>
      <c r="D23" s="29" t="str">
        <f aca="false">IF(D22=Summary!G36,"OK","MISMATCH")</f>
        <v>OK</v>
      </c>
    </row>
    <row r="25" customFormat="false" ht="15" hidden="false" customHeight="true" outlineLevel="0" collapsed="false">
      <c r="A25" s="23" t="s">
        <v>98</v>
      </c>
    </row>
    <row r="26" customFormat="false" ht="51.75" hidden="false" customHeight="true" outlineLevel="0" collapsed="false">
      <c r="A26" s="37" t="s">
        <v>99</v>
      </c>
      <c r="B26" s="37" t="s">
        <v>100</v>
      </c>
      <c r="C26" s="37" t="s">
        <v>101</v>
      </c>
      <c r="D26" s="37" t="s">
        <v>102</v>
      </c>
      <c r="E26" s="37" t="s">
        <v>103</v>
      </c>
    </row>
    <row r="27" customFormat="false" ht="26.25" hidden="false" customHeight="true" outlineLevel="0" collapsed="false">
      <c r="A27" s="31" t="s">
        <v>104</v>
      </c>
      <c r="B27" s="31" t="s">
        <v>105</v>
      </c>
      <c r="C27" s="38" t="n">
        <f aca="false">Summary!F19</f>
        <v>2778</v>
      </c>
      <c r="D27" s="31" t="n">
        <f aca="false">G22</f>
        <v>34</v>
      </c>
      <c r="E27" s="33" t="str">
        <f aca="false">IF(C27=0,0,IF($B$12="","Enter rate",(C27*(1+$B$8+$B$9)+$B$10)*$B$12))</f>
        <v>Enter rate</v>
      </c>
    </row>
    <row r="28" customFormat="false" ht="39" hidden="false" customHeight="true" outlineLevel="0" collapsed="false">
      <c r="A28" s="31" t="s">
        <v>106</v>
      </c>
      <c r="B28" s="31" t="s">
        <v>107</v>
      </c>
      <c r="C28" s="38" t="n">
        <f aca="false">Summary!D19</f>
        <v>1636</v>
      </c>
      <c r="D28" s="31" t="n">
        <f aca="false">IF(C28=0,0,ROUNDUP(C28/$B$14,0)+$B$11)</f>
        <v>20</v>
      </c>
      <c r="E28" s="33" t="str">
        <f aca="false">IF(C28=0,0,IF($B$12="","Enter rate",(C28*(1+$B$8+$B$9)+$B$10)*$B$12))</f>
        <v>Enter rate</v>
      </c>
    </row>
    <row r="29" customFormat="false" ht="51.75" hidden="false" customHeight="true" outlineLevel="0" collapsed="false">
      <c r="A29" s="31" t="s">
        <v>108</v>
      </c>
      <c r="B29" s="31" t="s">
        <v>109</v>
      </c>
      <c r="C29" s="31" t="n">
        <f aca="false">D17+D18</f>
        <v>1766</v>
      </c>
      <c r="D29" s="31" t="n">
        <f aca="false">G17+G18+$B$11</f>
        <v>22</v>
      </c>
      <c r="E29" s="33" t="str">
        <f aca="false">IF(C29=0,0,IF($B$12="","Enter rate",(C29*(1+$B$8+$B$9)+$B$10)*$B$12))</f>
        <v>Enter rate</v>
      </c>
    </row>
    <row r="30" customFormat="false" ht="39" hidden="false" customHeight="true" outlineLevel="0" collapsed="false">
      <c r="A30" s="31" t="s">
        <v>110</v>
      </c>
      <c r="B30" s="31" t="s">
        <v>111</v>
      </c>
      <c r="C30" s="31" t="n">
        <f aca="false">0</f>
        <v>0</v>
      </c>
      <c r="D30" s="31" t="n">
        <f aca="false">IF(C30=0,0,ROUNDUP(C30/$B$14,0)+$B$11)</f>
        <v>0</v>
      </c>
      <c r="E30" s="33" t="n">
        <f aca="false">IF(C30=0,0,IF($B$12="","Enter rate",(C30*(1+$B$8+$B$9)+$B$10)*$B$12))</f>
        <v>0</v>
      </c>
    </row>
    <row r="31" customFormat="false" ht="15" hidden="false" customHeight="true" outlineLevel="0" collapsed="false">
      <c r="A31" s="29"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8"/>
    <col collapsed="false" customWidth="true" hidden="false" outlineLevel="0" max="2" min="2" style="1" width="7"/>
    <col collapsed="false" customWidth="true" hidden="false" outlineLevel="0" max="3" min="3" style="1" width="30"/>
    <col collapsed="false" customWidth="true" hidden="false" outlineLevel="0" max="4" min="4" style="1" width="52"/>
    <col collapsed="false" customWidth="true" hidden="false" outlineLevel="0" max="5" min="5" style="1" width="10"/>
    <col collapsed="false" customWidth="true" hidden="false" outlineLevel="0" max="6" min="6" style="1" width="44"/>
    <col collapsed="false" customWidth="true" hidden="false" outlineLevel="0" max="7" min="7" style="1" width="8"/>
    <col collapsed="false" customWidth="true" hidden="false" outlineLevel="0" max="9" min="8" style="1" width="10"/>
    <col collapsed="false" customWidth="true" hidden="false" outlineLevel="0" max="26" min="10" style="1" width="8.71"/>
  </cols>
  <sheetData>
    <row r="1" customFormat="false" ht="18" hidden="false" customHeight="true" outlineLevel="0" collapsed="false">
      <c r="A1" s="2" t="s">
        <v>113</v>
      </c>
      <c r="B1" s="3"/>
      <c r="C1" s="3"/>
      <c r="D1" s="3"/>
      <c r="E1" s="3"/>
      <c r="F1" s="3"/>
      <c r="G1" s="3"/>
      <c r="H1" s="3"/>
      <c r="I1" s="3"/>
      <c r="J1" s="3"/>
      <c r="K1" s="3"/>
      <c r="L1" s="3"/>
      <c r="M1" s="3"/>
      <c r="N1" s="3"/>
      <c r="O1" s="3"/>
      <c r="P1" s="3"/>
      <c r="Q1" s="3"/>
      <c r="R1" s="3"/>
      <c r="S1" s="3"/>
      <c r="T1" s="3"/>
      <c r="U1" s="3"/>
      <c r="V1" s="3"/>
      <c r="W1" s="3"/>
      <c r="X1" s="3"/>
      <c r="Y1" s="3"/>
      <c r="Z1" s="3"/>
    </row>
    <row r="2" customFormat="false" ht="15" hidden="false" customHeight="true" outlineLevel="0" collapsed="false">
      <c r="A2" s="39" t="s">
        <v>114</v>
      </c>
      <c r="B2" s="39"/>
      <c r="C2" s="39"/>
      <c r="D2" s="39"/>
      <c r="E2" s="39"/>
      <c r="F2" s="39"/>
      <c r="G2" s="39"/>
      <c r="H2" s="39"/>
      <c r="I2" s="39"/>
      <c r="J2" s="3"/>
      <c r="K2" s="3"/>
      <c r="L2" s="3"/>
      <c r="M2" s="3"/>
      <c r="N2" s="3"/>
      <c r="O2" s="3"/>
      <c r="P2" s="3"/>
      <c r="Q2" s="3"/>
      <c r="R2" s="3"/>
      <c r="S2" s="3"/>
      <c r="T2" s="3"/>
      <c r="U2" s="3"/>
      <c r="V2" s="3"/>
      <c r="W2" s="3"/>
      <c r="X2" s="3"/>
      <c r="Y2" s="3"/>
      <c r="Z2" s="3"/>
    </row>
    <row r="3" customFormat="false" ht="1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21.75" hidden="false" customHeight="true" outlineLevel="0" collapsed="false">
      <c r="A4" s="40" t="n">
        <v>3</v>
      </c>
      <c r="B4" s="41" t="s">
        <v>115</v>
      </c>
      <c r="C4" s="41"/>
      <c r="D4" s="41"/>
      <c r="E4" s="41"/>
      <c r="F4" s="41"/>
      <c r="G4" s="41"/>
      <c r="H4" s="41"/>
      <c r="I4" s="41"/>
      <c r="J4" s="3"/>
      <c r="K4" s="3"/>
      <c r="L4" s="3"/>
      <c r="M4" s="3"/>
      <c r="N4" s="3"/>
      <c r="O4" s="3"/>
      <c r="P4" s="3"/>
      <c r="Q4" s="3"/>
      <c r="R4" s="3"/>
      <c r="S4" s="3"/>
      <c r="T4" s="3"/>
      <c r="U4" s="3"/>
      <c r="V4" s="3"/>
      <c r="W4" s="3"/>
      <c r="X4" s="3"/>
      <c r="Y4" s="3"/>
      <c r="Z4" s="3"/>
    </row>
    <row r="5" customFormat="false" ht="21.75" hidden="false" customHeight="true" outlineLevel="0" collapsed="false">
      <c r="A5" s="42" t="s">
        <v>3</v>
      </c>
      <c r="B5" s="42" t="s">
        <v>116</v>
      </c>
      <c r="C5" s="43" t="s">
        <v>117</v>
      </c>
      <c r="D5" s="43" t="s">
        <v>118</v>
      </c>
      <c r="E5" s="42" t="s">
        <v>119</v>
      </c>
      <c r="F5" s="43" t="s">
        <v>120</v>
      </c>
      <c r="G5" s="42" t="s">
        <v>121</v>
      </c>
      <c r="H5" s="42" t="s">
        <v>122</v>
      </c>
      <c r="I5" s="42" t="s">
        <v>9</v>
      </c>
      <c r="J5" s="3"/>
      <c r="K5" s="3"/>
      <c r="L5" s="3"/>
      <c r="M5" s="3"/>
      <c r="N5" s="3"/>
      <c r="O5" s="3"/>
      <c r="P5" s="3"/>
      <c r="Q5" s="3"/>
      <c r="R5" s="3"/>
      <c r="S5" s="3"/>
      <c r="T5" s="3"/>
      <c r="U5" s="3"/>
      <c r="V5" s="3"/>
      <c r="W5" s="3"/>
      <c r="X5" s="3"/>
      <c r="Y5" s="3"/>
      <c r="Z5" s="3"/>
    </row>
    <row r="6" customFormat="false" ht="34.5" hidden="false" customHeight="true" outlineLevel="0" collapsed="false">
      <c r="A6" s="44" t="n">
        <v>3</v>
      </c>
      <c r="B6" s="44" t="s">
        <v>123</v>
      </c>
      <c r="C6" s="45" t="s">
        <v>124</v>
      </c>
      <c r="D6" s="46" t="s">
        <v>125</v>
      </c>
      <c r="E6" s="47" t="s">
        <v>126</v>
      </c>
      <c r="F6" s="48" t="s">
        <v>127</v>
      </c>
      <c r="G6" s="49" t="n">
        <v>32</v>
      </c>
      <c r="H6" s="44" t="s">
        <v>128</v>
      </c>
      <c r="I6" s="44" t="n">
        <f aca="false">IF(H6="Yes",G6,0)</f>
        <v>32</v>
      </c>
      <c r="J6" s="3"/>
      <c r="K6" s="3"/>
      <c r="L6" s="3"/>
      <c r="M6" s="3"/>
      <c r="N6" s="3"/>
      <c r="O6" s="3"/>
      <c r="P6" s="3"/>
      <c r="Q6" s="3"/>
      <c r="R6" s="3"/>
      <c r="S6" s="3"/>
      <c r="T6" s="3"/>
      <c r="U6" s="3"/>
      <c r="V6" s="3"/>
      <c r="W6" s="3"/>
      <c r="X6" s="3"/>
      <c r="Y6" s="3"/>
      <c r="Z6" s="3"/>
    </row>
    <row r="7" customFormat="false" ht="34.5" hidden="false" customHeight="true" outlineLevel="0" collapsed="false">
      <c r="A7" s="44" t="n">
        <v>3</v>
      </c>
      <c r="B7" s="44" t="s">
        <v>129</v>
      </c>
      <c r="C7" s="45" t="s">
        <v>130</v>
      </c>
      <c r="D7" s="46" t="s">
        <v>131</v>
      </c>
      <c r="E7" s="47" t="s">
        <v>126</v>
      </c>
      <c r="F7" s="48" t="s">
        <v>127</v>
      </c>
      <c r="G7" s="49" t="n">
        <v>40</v>
      </c>
      <c r="H7" s="44" t="s">
        <v>128</v>
      </c>
      <c r="I7" s="44" t="n">
        <f aca="false">IF(H7="Yes",G7,0)</f>
        <v>40</v>
      </c>
      <c r="J7" s="3"/>
      <c r="K7" s="3"/>
      <c r="L7" s="3"/>
      <c r="M7" s="3"/>
      <c r="N7" s="3"/>
      <c r="O7" s="3"/>
      <c r="P7" s="3"/>
      <c r="Q7" s="3"/>
      <c r="R7" s="3"/>
      <c r="S7" s="3"/>
      <c r="T7" s="3"/>
      <c r="U7" s="3"/>
      <c r="V7" s="3"/>
      <c r="W7" s="3"/>
      <c r="X7" s="3"/>
      <c r="Y7" s="3"/>
      <c r="Z7" s="3"/>
    </row>
    <row r="8" customFormat="false" ht="34.5" hidden="false" customHeight="true" outlineLevel="0" collapsed="false">
      <c r="A8" s="44" t="n">
        <v>3</v>
      </c>
      <c r="B8" s="44" t="s">
        <v>132</v>
      </c>
      <c r="C8" s="45" t="s">
        <v>133</v>
      </c>
      <c r="D8" s="46" t="s">
        <v>134</v>
      </c>
      <c r="E8" s="47" t="s">
        <v>126</v>
      </c>
      <c r="F8" s="48" t="s">
        <v>127</v>
      </c>
      <c r="G8" s="49" t="n">
        <v>32</v>
      </c>
      <c r="H8" s="44" t="s">
        <v>128</v>
      </c>
      <c r="I8" s="44" t="n">
        <f aca="false">IF(H8="Yes",G8,0)</f>
        <v>32</v>
      </c>
      <c r="J8" s="3"/>
      <c r="K8" s="3"/>
      <c r="L8" s="3"/>
      <c r="M8" s="3"/>
      <c r="N8" s="3"/>
      <c r="O8" s="3"/>
      <c r="P8" s="3"/>
      <c r="Q8" s="3"/>
      <c r="R8" s="3"/>
      <c r="S8" s="3"/>
      <c r="T8" s="3"/>
      <c r="U8" s="3"/>
      <c r="V8" s="3"/>
      <c r="W8" s="3"/>
      <c r="X8" s="3"/>
      <c r="Y8" s="3"/>
      <c r="Z8" s="3"/>
    </row>
    <row r="9" customFormat="false" ht="34.5" hidden="false" customHeight="true" outlineLevel="0" collapsed="false">
      <c r="A9" s="44" t="n">
        <v>3</v>
      </c>
      <c r="B9" s="44" t="s">
        <v>135</v>
      </c>
      <c r="C9" s="45" t="s">
        <v>136</v>
      </c>
      <c r="D9" s="46" t="s">
        <v>137</v>
      </c>
      <c r="E9" s="47" t="s">
        <v>126</v>
      </c>
      <c r="F9" s="48" t="s">
        <v>127</v>
      </c>
      <c r="G9" s="49" t="n">
        <v>24</v>
      </c>
      <c r="H9" s="44" t="s">
        <v>128</v>
      </c>
      <c r="I9" s="44" t="n">
        <f aca="false">IF(H9="Yes",G9,0)</f>
        <v>24</v>
      </c>
      <c r="J9" s="3"/>
      <c r="K9" s="3"/>
      <c r="L9" s="3"/>
      <c r="M9" s="3"/>
      <c r="N9" s="3"/>
      <c r="O9" s="3"/>
      <c r="P9" s="3"/>
      <c r="Q9" s="3"/>
      <c r="R9" s="3"/>
      <c r="S9" s="3"/>
      <c r="T9" s="3"/>
      <c r="U9" s="3"/>
      <c r="V9" s="3"/>
      <c r="W9" s="3"/>
      <c r="X9" s="3"/>
      <c r="Y9" s="3"/>
      <c r="Z9" s="3"/>
    </row>
    <row r="10" customFormat="false" ht="23.25" hidden="false" customHeight="true" outlineLevel="0" collapsed="false">
      <c r="A10" s="44" t="n">
        <v>3</v>
      </c>
      <c r="B10" s="44" t="s">
        <v>138</v>
      </c>
      <c r="C10" s="45" t="s">
        <v>139</v>
      </c>
      <c r="D10" s="46" t="s">
        <v>140</v>
      </c>
      <c r="E10" s="47" t="s">
        <v>126</v>
      </c>
      <c r="F10" s="48" t="s">
        <v>127</v>
      </c>
      <c r="G10" s="49" t="n">
        <v>16</v>
      </c>
      <c r="H10" s="44" t="s">
        <v>128</v>
      </c>
      <c r="I10" s="44" t="n">
        <f aca="false">IF(H10="Yes",G10,0)</f>
        <v>16</v>
      </c>
      <c r="J10" s="3"/>
      <c r="K10" s="3"/>
      <c r="L10" s="3"/>
      <c r="M10" s="3"/>
      <c r="N10" s="3"/>
      <c r="O10" s="3"/>
      <c r="P10" s="3"/>
      <c r="Q10" s="3"/>
      <c r="R10" s="3"/>
      <c r="S10" s="3"/>
      <c r="T10" s="3"/>
      <c r="U10" s="3"/>
      <c r="V10" s="3"/>
      <c r="W10" s="3"/>
      <c r="X10" s="3"/>
      <c r="Y10" s="3"/>
      <c r="Z10" s="3"/>
    </row>
    <row r="11" customFormat="false" ht="34.5" hidden="false" customHeight="true" outlineLevel="0" collapsed="false">
      <c r="A11" s="6" t="n">
        <v>3</v>
      </c>
      <c r="B11" s="6" t="s">
        <v>141</v>
      </c>
      <c r="C11" s="50" t="s">
        <v>142</v>
      </c>
      <c r="D11" s="7" t="s">
        <v>143</v>
      </c>
      <c r="E11" s="6" t="s">
        <v>144</v>
      </c>
      <c r="F11" s="7" t="s">
        <v>145</v>
      </c>
      <c r="G11" s="51" t="n">
        <v>20</v>
      </c>
      <c r="H11" s="52" t="s">
        <v>128</v>
      </c>
      <c r="I11" s="6" t="n">
        <f aca="false">IF(H11="Yes",G11,0)</f>
        <v>20</v>
      </c>
      <c r="J11" s="3"/>
      <c r="K11" s="3"/>
      <c r="L11" s="3"/>
      <c r="M11" s="3"/>
      <c r="N11" s="3"/>
      <c r="O11" s="3"/>
      <c r="P11" s="3"/>
      <c r="Q11" s="3"/>
      <c r="R11" s="3"/>
      <c r="S11" s="3"/>
      <c r="T11" s="3"/>
      <c r="U11" s="3"/>
      <c r="V11" s="3"/>
      <c r="W11" s="3"/>
      <c r="X11" s="3"/>
      <c r="Y11" s="3"/>
      <c r="Z11" s="3"/>
    </row>
    <row r="12" customFormat="false" ht="23.25" hidden="false" customHeight="true" outlineLevel="0" collapsed="false">
      <c r="A12" s="6" t="n">
        <v>3</v>
      </c>
      <c r="B12" s="6" t="s">
        <v>146</v>
      </c>
      <c r="C12" s="50" t="s">
        <v>147</v>
      </c>
      <c r="D12" s="7" t="s">
        <v>148</v>
      </c>
      <c r="E12" s="6" t="s">
        <v>144</v>
      </c>
      <c r="F12" s="7" t="s">
        <v>149</v>
      </c>
      <c r="G12" s="51" t="n">
        <v>16</v>
      </c>
      <c r="H12" s="52" t="s">
        <v>128</v>
      </c>
      <c r="I12" s="6" t="n">
        <f aca="false">IF(H12="Yes",G12,0)</f>
        <v>16</v>
      </c>
      <c r="J12" s="3"/>
      <c r="K12" s="3"/>
      <c r="L12" s="3"/>
      <c r="M12" s="3"/>
      <c r="N12" s="3"/>
      <c r="O12" s="3"/>
      <c r="P12" s="3"/>
      <c r="Q12" s="3"/>
      <c r="R12" s="3"/>
      <c r="S12" s="3"/>
      <c r="T12" s="3"/>
      <c r="U12" s="3"/>
      <c r="V12" s="3"/>
      <c r="W12" s="3"/>
      <c r="X12" s="3"/>
      <c r="Y12" s="3"/>
      <c r="Z12" s="3"/>
    </row>
    <row r="13" customFormat="false" ht="23.25" hidden="false" customHeight="true" outlineLevel="0" collapsed="false">
      <c r="A13" s="6" t="n">
        <v>3</v>
      </c>
      <c r="B13" s="6" t="s">
        <v>150</v>
      </c>
      <c r="C13" s="50" t="s">
        <v>151</v>
      </c>
      <c r="D13" s="7" t="s">
        <v>152</v>
      </c>
      <c r="E13" s="6" t="s">
        <v>144</v>
      </c>
      <c r="F13" s="7" t="s">
        <v>153</v>
      </c>
      <c r="G13" s="51" t="n">
        <v>4</v>
      </c>
      <c r="H13" s="52" t="s">
        <v>128</v>
      </c>
      <c r="I13" s="6" t="n">
        <f aca="false">IF(H13="Yes",G13,0)</f>
        <v>4</v>
      </c>
      <c r="J13" s="3"/>
      <c r="K13" s="3"/>
      <c r="L13" s="3"/>
      <c r="M13" s="3"/>
      <c r="N13" s="3"/>
      <c r="O13" s="3"/>
      <c r="P13" s="3"/>
      <c r="Q13" s="3"/>
      <c r="R13" s="3"/>
      <c r="S13" s="3"/>
      <c r="T13" s="3"/>
      <c r="U13" s="3"/>
      <c r="V13" s="3"/>
      <c r="W13" s="3"/>
      <c r="X13" s="3"/>
      <c r="Y13" s="3"/>
      <c r="Z13" s="3"/>
    </row>
    <row r="14" customFormat="false" ht="23.25" hidden="false" customHeight="true" outlineLevel="0" collapsed="false">
      <c r="A14" s="6" t="n">
        <v>3</v>
      </c>
      <c r="B14" s="6" t="s">
        <v>154</v>
      </c>
      <c r="C14" s="50" t="s">
        <v>155</v>
      </c>
      <c r="D14" s="7" t="s">
        <v>156</v>
      </c>
      <c r="E14" s="6" t="s">
        <v>144</v>
      </c>
      <c r="F14" s="7" t="s">
        <v>157</v>
      </c>
      <c r="G14" s="51" t="n">
        <v>8</v>
      </c>
      <c r="H14" s="52" t="s">
        <v>128</v>
      </c>
      <c r="I14" s="6" t="n">
        <f aca="false">IF(H14="Yes",G14,0)</f>
        <v>8</v>
      </c>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53" t="s">
        <v>158</v>
      </c>
      <c r="D15" s="53"/>
      <c r="E15" s="53"/>
      <c r="F15" s="53"/>
      <c r="G15" s="54" t="n">
        <f aca="false">SUMIFS(G6:G14,E6:E14,"Core")</f>
        <v>144</v>
      </c>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3"/>
      <c r="B16" s="3"/>
      <c r="C16" s="53" t="s">
        <v>159</v>
      </c>
      <c r="D16" s="53"/>
      <c r="E16" s="53"/>
      <c r="F16" s="53"/>
      <c r="G16" s="54" t="n">
        <f aca="false">SUMIFS(G6:G14,E6:E14,"Optional")</f>
        <v>48</v>
      </c>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3"/>
      <c r="B17" s="3"/>
      <c r="C17" s="53" t="s">
        <v>160</v>
      </c>
      <c r="D17" s="53"/>
      <c r="E17" s="53"/>
      <c r="F17" s="53"/>
      <c r="G17" s="3"/>
      <c r="H17" s="3"/>
      <c r="I17" s="55" t="n">
        <f aca="false">SUM(I6:I14)</f>
        <v>192</v>
      </c>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21.75" hidden="false" customHeight="true" outlineLevel="0" collapsed="false">
      <c r="A19" s="40" t="n">
        <v>18</v>
      </c>
      <c r="B19" s="41" t="s">
        <v>161</v>
      </c>
      <c r="C19" s="41"/>
      <c r="D19" s="41"/>
      <c r="E19" s="41"/>
      <c r="F19" s="41"/>
      <c r="G19" s="41"/>
      <c r="H19" s="41"/>
      <c r="I19" s="41"/>
      <c r="J19" s="3"/>
      <c r="K19" s="3"/>
      <c r="L19" s="3"/>
      <c r="M19" s="3"/>
      <c r="N19" s="3"/>
      <c r="O19" s="3"/>
      <c r="P19" s="3"/>
      <c r="Q19" s="3"/>
      <c r="R19" s="3"/>
      <c r="S19" s="3"/>
      <c r="T19" s="3"/>
      <c r="U19" s="3"/>
      <c r="V19" s="3"/>
      <c r="W19" s="3"/>
      <c r="X19" s="3"/>
      <c r="Y19" s="3"/>
      <c r="Z19" s="3"/>
    </row>
    <row r="20" customFormat="false" ht="21.75" hidden="false" customHeight="true" outlineLevel="0" collapsed="false">
      <c r="A20" s="42" t="s">
        <v>3</v>
      </c>
      <c r="B20" s="42" t="s">
        <v>116</v>
      </c>
      <c r="C20" s="43" t="s">
        <v>117</v>
      </c>
      <c r="D20" s="43" t="s">
        <v>118</v>
      </c>
      <c r="E20" s="42" t="s">
        <v>119</v>
      </c>
      <c r="F20" s="43" t="s">
        <v>120</v>
      </c>
      <c r="G20" s="42" t="s">
        <v>121</v>
      </c>
      <c r="H20" s="42" t="s">
        <v>122</v>
      </c>
      <c r="I20" s="42" t="s">
        <v>9</v>
      </c>
      <c r="J20" s="3"/>
      <c r="K20" s="3"/>
      <c r="L20" s="3"/>
      <c r="M20" s="3"/>
      <c r="N20" s="3"/>
      <c r="O20" s="3"/>
      <c r="P20" s="3"/>
      <c r="Q20" s="3"/>
      <c r="R20" s="3"/>
      <c r="S20" s="3"/>
      <c r="T20" s="3"/>
      <c r="U20" s="3"/>
      <c r="V20" s="3"/>
      <c r="W20" s="3"/>
      <c r="X20" s="3"/>
      <c r="Y20" s="3"/>
      <c r="Z20" s="3"/>
    </row>
    <row r="21" customFormat="false" ht="15.75" hidden="false" customHeight="true" outlineLevel="0" collapsed="false">
      <c r="A21" s="44" t="n">
        <v>18</v>
      </c>
      <c r="B21" s="44" t="s">
        <v>162</v>
      </c>
      <c r="C21" s="45" t="s">
        <v>163</v>
      </c>
      <c r="D21" s="46" t="s">
        <v>164</v>
      </c>
      <c r="E21" s="47" t="s">
        <v>126</v>
      </c>
      <c r="F21" s="48" t="s">
        <v>127</v>
      </c>
      <c r="G21" s="49" t="n">
        <v>40</v>
      </c>
      <c r="H21" s="44" t="s">
        <v>128</v>
      </c>
      <c r="I21" s="44" t="n">
        <f aca="false">IF(H21="Yes",G21,0)</f>
        <v>40</v>
      </c>
      <c r="J21" s="3"/>
      <c r="K21" s="3"/>
      <c r="L21" s="3"/>
      <c r="M21" s="3"/>
      <c r="N21" s="3"/>
      <c r="O21" s="3"/>
      <c r="P21" s="3"/>
      <c r="Q21" s="3"/>
      <c r="R21" s="3"/>
      <c r="S21" s="3"/>
      <c r="T21" s="3"/>
      <c r="U21" s="3"/>
      <c r="V21" s="3"/>
      <c r="W21" s="3"/>
      <c r="X21" s="3"/>
      <c r="Y21" s="3"/>
      <c r="Z21" s="3"/>
    </row>
    <row r="22" customFormat="false" ht="15.75" hidden="false" customHeight="true" outlineLevel="0" collapsed="false">
      <c r="A22" s="44" t="n">
        <v>18</v>
      </c>
      <c r="B22" s="44" t="s">
        <v>165</v>
      </c>
      <c r="C22" s="45" t="s">
        <v>166</v>
      </c>
      <c r="D22" s="46" t="s">
        <v>167</v>
      </c>
      <c r="E22" s="47" t="s">
        <v>126</v>
      </c>
      <c r="F22" s="48" t="s">
        <v>127</v>
      </c>
      <c r="G22" s="49" t="n">
        <v>32</v>
      </c>
      <c r="H22" s="44" t="s">
        <v>128</v>
      </c>
      <c r="I22" s="44" t="n">
        <f aca="false">IF(H22="Yes",G22,0)</f>
        <v>32</v>
      </c>
      <c r="J22" s="3"/>
      <c r="K22" s="3"/>
      <c r="L22" s="3"/>
      <c r="M22" s="3"/>
      <c r="N22" s="3"/>
      <c r="O22" s="3"/>
      <c r="P22" s="3"/>
      <c r="Q22" s="3"/>
      <c r="R22" s="3"/>
      <c r="S22" s="3"/>
      <c r="T22" s="3"/>
      <c r="U22" s="3"/>
      <c r="V22" s="3"/>
      <c r="W22" s="3"/>
      <c r="X22" s="3"/>
      <c r="Y22" s="3"/>
      <c r="Z22" s="3"/>
    </row>
    <row r="23" customFormat="false" ht="15.75" hidden="false" customHeight="true" outlineLevel="0" collapsed="false">
      <c r="A23" s="44" t="n">
        <v>18</v>
      </c>
      <c r="B23" s="44" t="s">
        <v>168</v>
      </c>
      <c r="C23" s="45" t="s">
        <v>169</v>
      </c>
      <c r="D23" s="46" t="s">
        <v>170</v>
      </c>
      <c r="E23" s="47" t="s">
        <v>126</v>
      </c>
      <c r="F23" s="48" t="s">
        <v>127</v>
      </c>
      <c r="G23" s="49" t="n">
        <v>24</v>
      </c>
      <c r="H23" s="44" t="s">
        <v>128</v>
      </c>
      <c r="I23" s="44" t="n">
        <f aca="false">IF(H23="Yes",G23,0)</f>
        <v>24</v>
      </c>
      <c r="J23" s="3"/>
      <c r="K23" s="3"/>
      <c r="L23" s="3"/>
      <c r="M23" s="3"/>
      <c r="N23" s="3"/>
      <c r="O23" s="3"/>
      <c r="P23" s="3"/>
      <c r="Q23" s="3"/>
      <c r="R23" s="3"/>
      <c r="S23" s="3"/>
      <c r="T23" s="3"/>
      <c r="U23" s="3"/>
      <c r="V23" s="3"/>
      <c r="W23" s="3"/>
      <c r="X23" s="3"/>
      <c r="Y23" s="3"/>
      <c r="Z23" s="3"/>
    </row>
    <row r="24" customFormat="false" ht="15.75" hidden="false" customHeight="true" outlineLevel="0" collapsed="false">
      <c r="A24" s="44" t="n">
        <v>18</v>
      </c>
      <c r="B24" s="44" t="s">
        <v>171</v>
      </c>
      <c r="C24" s="45" t="s">
        <v>172</v>
      </c>
      <c r="D24" s="46" t="s">
        <v>173</v>
      </c>
      <c r="E24" s="47" t="s">
        <v>126</v>
      </c>
      <c r="F24" s="48" t="s">
        <v>127</v>
      </c>
      <c r="G24" s="49" t="n">
        <v>40</v>
      </c>
      <c r="H24" s="44" t="s">
        <v>128</v>
      </c>
      <c r="I24" s="44" t="n">
        <f aca="false">IF(H24="Yes",G24,0)</f>
        <v>40</v>
      </c>
      <c r="J24" s="3"/>
      <c r="K24" s="3"/>
      <c r="L24" s="3"/>
      <c r="M24" s="3"/>
      <c r="N24" s="3"/>
      <c r="O24" s="3"/>
      <c r="P24" s="3"/>
      <c r="Q24" s="3"/>
      <c r="R24" s="3"/>
      <c r="S24" s="3"/>
      <c r="T24" s="3"/>
      <c r="U24" s="3"/>
      <c r="V24" s="3"/>
      <c r="W24" s="3"/>
      <c r="X24" s="3"/>
      <c r="Y24" s="3"/>
      <c r="Z24" s="3"/>
    </row>
    <row r="25" customFormat="false" ht="15.75" hidden="false" customHeight="true" outlineLevel="0" collapsed="false">
      <c r="A25" s="44" t="n">
        <v>18</v>
      </c>
      <c r="B25" s="44" t="s">
        <v>174</v>
      </c>
      <c r="C25" s="45" t="s">
        <v>175</v>
      </c>
      <c r="D25" s="46" t="s">
        <v>176</v>
      </c>
      <c r="E25" s="47" t="s">
        <v>126</v>
      </c>
      <c r="F25" s="48" t="s">
        <v>127</v>
      </c>
      <c r="G25" s="49" t="n">
        <v>24</v>
      </c>
      <c r="H25" s="44" t="s">
        <v>128</v>
      </c>
      <c r="I25" s="44" t="n">
        <f aca="false">IF(H25="Yes",G25,0)</f>
        <v>24</v>
      </c>
      <c r="J25" s="3"/>
      <c r="K25" s="3"/>
      <c r="L25" s="3"/>
      <c r="M25" s="3"/>
      <c r="N25" s="3"/>
      <c r="O25" s="3"/>
      <c r="P25" s="3"/>
      <c r="Q25" s="3"/>
      <c r="R25" s="3"/>
      <c r="S25" s="3"/>
      <c r="T25" s="3"/>
      <c r="U25" s="3"/>
      <c r="V25" s="3"/>
      <c r="W25" s="3"/>
      <c r="X25" s="3"/>
      <c r="Y25" s="3"/>
      <c r="Z25" s="3"/>
    </row>
    <row r="26" customFormat="false" ht="15.75" hidden="false" customHeight="true" outlineLevel="0" collapsed="false">
      <c r="A26" s="6" t="n">
        <v>18</v>
      </c>
      <c r="B26" s="6" t="s">
        <v>177</v>
      </c>
      <c r="C26" s="50" t="s">
        <v>178</v>
      </c>
      <c r="D26" s="7" t="s">
        <v>179</v>
      </c>
      <c r="E26" s="6" t="s">
        <v>144</v>
      </c>
      <c r="F26" s="7" t="s">
        <v>180</v>
      </c>
      <c r="G26" s="51" t="n">
        <v>32</v>
      </c>
      <c r="H26" s="52" t="s">
        <v>128</v>
      </c>
      <c r="I26" s="6" t="n">
        <f aca="false">IF(H26="Yes",G26,0)</f>
        <v>32</v>
      </c>
      <c r="J26" s="3"/>
      <c r="K26" s="3"/>
      <c r="L26" s="3"/>
      <c r="M26" s="3"/>
      <c r="N26" s="3"/>
      <c r="O26" s="3"/>
      <c r="P26" s="3"/>
      <c r="Q26" s="3"/>
      <c r="R26" s="3"/>
      <c r="S26" s="3"/>
      <c r="T26" s="3"/>
      <c r="U26" s="3"/>
      <c r="V26" s="3"/>
      <c r="W26" s="3"/>
      <c r="X26" s="3"/>
      <c r="Y26" s="3"/>
      <c r="Z26" s="3"/>
    </row>
    <row r="27" customFormat="false" ht="15.75" hidden="false" customHeight="true" outlineLevel="0" collapsed="false">
      <c r="A27" s="6" t="n">
        <v>18</v>
      </c>
      <c r="B27" s="6" t="s">
        <v>181</v>
      </c>
      <c r="C27" s="50" t="s">
        <v>182</v>
      </c>
      <c r="D27" s="7" t="s">
        <v>183</v>
      </c>
      <c r="E27" s="6" t="s">
        <v>144</v>
      </c>
      <c r="F27" s="7" t="s">
        <v>184</v>
      </c>
      <c r="G27" s="51" t="n">
        <v>12</v>
      </c>
      <c r="H27" s="52" t="s">
        <v>128</v>
      </c>
      <c r="I27" s="6" t="n">
        <f aca="false">IF(H27="Yes",G27,0)</f>
        <v>12</v>
      </c>
      <c r="J27" s="3"/>
      <c r="K27" s="3"/>
      <c r="L27" s="3"/>
      <c r="M27" s="3"/>
      <c r="N27" s="3"/>
      <c r="O27" s="3"/>
      <c r="P27" s="3"/>
      <c r="Q27" s="3"/>
      <c r="R27" s="3"/>
      <c r="S27" s="3"/>
      <c r="T27" s="3"/>
      <c r="U27" s="3"/>
      <c r="V27" s="3"/>
      <c r="W27" s="3"/>
      <c r="X27" s="3"/>
      <c r="Y27" s="3"/>
      <c r="Z27" s="3"/>
    </row>
    <row r="28" customFormat="false" ht="15.75" hidden="false" customHeight="true" outlineLevel="0" collapsed="false">
      <c r="A28" s="6" t="n">
        <v>18</v>
      </c>
      <c r="B28" s="6" t="s">
        <v>185</v>
      </c>
      <c r="C28" s="50" t="s">
        <v>186</v>
      </c>
      <c r="D28" s="7" t="s">
        <v>187</v>
      </c>
      <c r="E28" s="6" t="s">
        <v>144</v>
      </c>
      <c r="F28" s="7" t="s">
        <v>188</v>
      </c>
      <c r="G28" s="51" t="n">
        <v>12</v>
      </c>
      <c r="H28" s="52" t="s">
        <v>128</v>
      </c>
      <c r="I28" s="6" t="n">
        <f aca="false">IF(H28="Yes",G28,0)</f>
        <v>12</v>
      </c>
      <c r="J28" s="3"/>
      <c r="K28" s="3"/>
      <c r="L28" s="3"/>
      <c r="M28" s="3"/>
      <c r="N28" s="3"/>
      <c r="O28" s="3"/>
      <c r="P28" s="3"/>
      <c r="Q28" s="3"/>
      <c r="R28" s="3"/>
      <c r="S28" s="3"/>
      <c r="T28" s="3"/>
      <c r="U28" s="3"/>
      <c r="V28" s="3"/>
      <c r="W28" s="3"/>
      <c r="X28" s="3"/>
      <c r="Y28" s="3"/>
      <c r="Z28" s="3"/>
    </row>
    <row r="29" customFormat="false" ht="15.75" hidden="false" customHeight="true" outlineLevel="0" collapsed="false">
      <c r="A29" s="6" t="n">
        <v>18</v>
      </c>
      <c r="B29" s="6" t="s">
        <v>189</v>
      </c>
      <c r="C29" s="50" t="s">
        <v>190</v>
      </c>
      <c r="D29" s="7" t="s">
        <v>191</v>
      </c>
      <c r="E29" s="6" t="s">
        <v>144</v>
      </c>
      <c r="F29" s="7" t="s">
        <v>192</v>
      </c>
      <c r="G29" s="51" t="n">
        <v>8</v>
      </c>
      <c r="H29" s="52" t="s">
        <v>128</v>
      </c>
      <c r="I29" s="6" t="n">
        <f aca="false">IF(H29="Yes",G29,0)</f>
        <v>8</v>
      </c>
      <c r="J29" s="3"/>
      <c r="K29" s="3"/>
      <c r="L29" s="3"/>
      <c r="M29" s="3"/>
      <c r="N29" s="3"/>
      <c r="O29" s="3"/>
      <c r="P29" s="3"/>
      <c r="Q29" s="3"/>
      <c r="R29" s="3"/>
      <c r="S29" s="3"/>
      <c r="T29" s="3"/>
      <c r="U29" s="3"/>
      <c r="V29" s="3"/>
      <c r="W29" s="3"/>
      <c r="X29" s="3"/>
      <c r="Y29" s="3"/>
      <c r="Z29" s="3"/>
    </row>
    <row r="30" customFormat="false" ht="15.75" hidden="false" customHeight="true" outlineLevel="0" collapsed="false">
      <c r="A30" s="6" t="n">
        <v>18</v>
      </c>
      <c r="B30" s="6" t="s">
        <v>193</v>
      </c>
      <c r="C30" s="50" t="s">
        <v>194</v>
      </c>
      <c r="D30" s="7" t="s">
        <v>195</v>
      </c>
      <c r="E30" s="6" t="s">
        <v>144</v>
      </c>
      <c r="F30" s="7" t="s">
        <v>196</v>
      </c>
      <c r="G30" s="51" t="n">
        <v>12</v>
      </c>
      <c r="H30" s="52" t="s">
        <v>128</v>
      </c>
      <c r="I30" s="6" t="n">
        <f aca="false">IF(H30="Yes",G30,0)</f>
        <v>12</v>
      </c>
      <c r="J30" s="3"/>
      <c r="K30" s="3"/>
      <c r="L30" s="3"/>
      <c r="M30" s="3"/>
      <c r="N30" s="3"/>
      <c r="O30" s="3"/>
      <c r="P30" s="3"/>
      <c r="Q30" s="3"/>
      <c r="R30" s="3"/>
      <c r="S30" s="3"/>
      <c r="T30" s="3"/>
      <c r="U30" s="3"/>
      <c r="V30" s="3"/>
      <c r="W30" s="3"/>
      <c r="X30" s="3"/>
      <c r="Y30" s="3"/>
      <c r="Z30" s="3"/>
    </row>
    <row r="31" customFormat="false" ht="15.75" hidden="false" customHeight="true" outlineLevel="0" collapsed="false">
      <c r="A31" s="6" t="n">
        <v>18</v>
      </c>
      <c r="B31" s="6" t="s">
        <v>197</v>
      </c>
      <c r="C31" s="50" t="s">
        <v>198</v>
      </c>
      <c r="D31" s="7" t="s">
        <v>199</v>
      </c>
      <c r="E31" s="6" t="s">
        <v>144</v>
      </c>
      <c r="F31" s="7" t="s">
        <v>200</v>
      </c>
      <c r="G31" s="51" t="n">
        <v>12</v>
      </c>
      <c r="H31" s="52" t="s">
        <v>128</v>
      </c>
      <c r="I31" s="6" t="n">
        <f aca="false">IF(H31="Yes",G31,0)</f>
        <v>12</v>
      </c>
      <c r="J31" s="3"/>
      <c r="K31" s="3"/>
      <c r="L31" s="3"/>
      <c r="M31" s="3"/>
      <c r="N31" s="3"/>
      <c r="O31" s="3"/>
      <c r="P31" s="3"/>
      <c r="Q31" s="3"/>
      <c r="R31" s="3"/>
      <c r="S31" s="3"/>
      <c r="T31" s="3"/>
      <c r="U31" s="3"/>
      <c r="V31" s="3"/>
      <c r="W31" s="3"/>
      <c r="X31" s="3"/>
      <c r="Y31" s="3"/>
      <c r="Z31" s="3"/>
    </row>
    <row r="32" customFormat="false" ht="15.75" hidden="false" customHeight="true" outlineLevel="0" collapsed="false">
      <c r="A32" s="6" t="n">
        <v>18</v>
      </c>
      <c r="B32" s="6" t="s">
        <v>201</v>
      </c>
      <c r="C32" s="50" t="s">
        <v>202</v>
      </c>
      <c r="D32" s="7" t="s">
        <v>203</v>
      </c>
      <c r="E32" s="6" t="s">
        <v>144</v>
      </c>
      <c r="F32" s="7" t="s">
        <v>204</v>
      </c>
      <c r="G32" s="51" t="n">
        <v>12</v>
      </c>
      <c r="H32" s="52" t="s">
        <v>128</v>
      </c>
      <c r="I32" s="6" t="n">
        <f aca="false">IF(H32="Yes",G32,0)</f>
        <v>12</v>
      </c>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53" t="s">
        <v>158</v>
      </c>
      <c r="D33" s="53"/>
      <c r="E33" s="53"/>
      <c r="F33" s="53"/>
      <c r="G33" s="54" t="n">
        <f aca="false">SUMIFS(G21:G32,E21:E32,"Core")</f>
        <v>160</v>
      </c>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53" t="s">
        <v>159</v>
      </c>
      <c r="D34" s="53"/>
      <c r="E34" s="53"/>
      <c r="F34" s="53"/>
      <c r="G34" s="54" t="n">
        <f aca="false">SUMIFS(G21:G32,E21:E32,"Optional")</f>
        <v>100</v>
      </c>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53" t="s">
        <v>160</v>
      </c>
      <c r="D35" s="53"/>
      <c r="E35" s="53"/>
      <c r="F35" s="53"/>
      <c r="G35" s="3"/>
      <c r="H35" s="3"/>
      <c r="I35" s="55" t="n">
        <f aca="false">SUM(I21:I32)</f>
        <v>260</v>
      </c>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21.75" hidden="false" customHeight="true" outlineLevel="0" collapsed="false">
      <c r="A37" s="40" t="n">
        <v>19</v>
      </c>
      <c r="B37" s="41" t="s">
        <v>205</v>
      </c>
      <c r="C37" s="41"/>
      <c r="D37" s="41"/>
      <c r="E37" s="41"/>
      <c r="F37" s="41"/>
      <c r="G37" s="41"/>
      <c r="H37" s="41"/>
      <c r="I37" s="41"/>
      <c r="J37" s="3"/>
      <c r="K37" s="3"/>
      <c r="L37" s="3"/>
      <c r="M37" s="3"/>
      <c r="N37" s="3"/>
      <c r="O37" s="3"/>
      <c r="P37" s="3"/>
      <c r="Q37" s="3"/>
      <c r="R37" s="3"/>
      <c r="S37" s="3"/>
      <c r="T37" s="3"/>
      <c r="U37" s="3"/>
      <c r="V37" s="3"/>
      <c r="W37" s="3"/>
      <c r="X37" s="3"/>
      <c r="Y37" s="3"/>
      <c r="Z37" s="3"/>
    </row>
    <row r="38" customFormat="false" ht="15.75" hidden="false" customHeight="true" outlineLevel="0" collapsed="false">
      <c r="A38" s="42" t="s">
        <v>3</v>
      </c>
      <c r="B38" s="42" t="s">
        <v>116</v>
      </c>
      <c r="C38" s="43" t="s">
        <v>117</v>
      </c>
      <c r="D38" s="43" t="s">
        <v>118</v>
      </c>
      <c r="E38" s="42" t="s">
        <v>119</v>
      </c>
      <c r="F38" s="43" t="s">
        <v>120</v>
      </c>
      <c r="G38" s="42" t="s">
        <v>121</v>
      </c>
      <c r="H38" s="42" t="s">
        <v>122</v>
      </c>
      <c r="I38" s="42" t="s">
        <v>9</v>
      </c>
      <c r="J38" s="3"/>
      <c r="K38" s="3"/>
      <c r="L38" s="3"/>
      <c r="M38" s="3"/>
      <c r="N38" s="3"/>
      <c r="O38" s="3"/>
      <c r="P38" s="3"/>
      <c r="Q38" s="3"/>
      <c r="R38" s="3"/>
      <c r="S38" s="3"/>
      <c r="T38" s="3"/>
      <c r="U38" s="3"/>
      <c r="V38" s="3"/>
      <c r="W38" s="3"/>
      <c r="X38" s="3"/>
      <c r="Y38" s="3"/>
      <c r="Z38" s="3"/>
    </row>
    <row r="39" customFormat="false" ht="15.75" hidden="false" customHeight="true" outlineLevel="0" collapsed="false">
      <c r="A39" s="44" t="n">
        <v>19</v>
      </c>
      <c r="B39" s="44" t="s">
        <v>206</v>
      </c>
      <c r="C39" s="45" t="s">
        <v>207</v>
      </c>
      <c r="D39" s="46" t="s">
        <v>208</v>
      </c>
      <c r="E39" s="47" t="s">
        <v>126</v>
      </c>
      <c r="F39" s="48" t="s">
        <v>127</v>
      </c>
      <c r="G39" s="49" t="n">
        <v>16</v>
      </c>
      <c r="H39" s="44" t="s">
        <v>128</v>
      </c>
      <c r="I39" s="44" t="n">
        <f aca="false">IF(H39="Yes",G39,0)</f>
        <v>16</v>
      </c>
      <c r="J39" s="3"/>
      <c r="K39" s="3"/>
      <c r="L39" s="3"/>
      <c r="M39" s="3"/>
      <c r="N39" s="3"/>
      <c r="O39" s="3"/>
      <c r="P39" s="3"/>
      <c r="Q39" s="3"/>
      <c r="R39" s="3"/>
      <c r="S39" s="3"/>
      <c r="T39" s="3"/>
      <c r="U39" s="3"/>
      <c r="V39" s="3"/>
      <c r="W39" s="3"/>
      <c r="X39" s="3"/>
      <c r="Y39" s="3"/>
      <c r="Z39" s="3"/>
    </row>
    <row r="40" customFormat="false" ht="15.75" hidden="false" customHeight="true" outlineLevel="0" collapsed="false">
      <c r="A40" s="44" t="n">
        <v>19</v>
      </c>
      <c r="B40" s="44" t="s">
        <v>209</v>
      </c>
      <c r="C40" s="45" t="s">
        <v>210</v>
      </c>
      <c r="D40" s="46" t="s">
        <v>211</v>
      </c>
      <c r="E40" s="47" t="s">
        <v>126</v>
      </c>
      <c r="F40" s="48" t="s">
        <v>127</v>
      </c>
      <c r="G40" s="49" t="n">
        <v>32</v>
      </c>
      <c r="H40" s="44" t="s">
        <v>128</v>
      </c>
      <c r="I40" s="44" t="n">
        <f aca="false">IF(H40="Yes",G40,0)</f>
        <v>32</v>
      </c>
      <c r="J40" s="3"/>
      <c r="K40" s="3"/>
      <c r="L40" s="3"/>
      <c r="M40" s="3"/>
      <c r="N40" s="3"/>
      <c r="O40" s="3"/>
      <c r="P40" s="3"/>
      <c r="Q40" s="3"/>
      <c r="R40" s="3"/>
      <c r="S40" s="3"/>
      <c r="T40" s="3"/>
      <c r="U40" s="3"/>
      <c r="V40" s="3"/>
      <c r="W40" s="3"/>
      <c r="X40" s="3"/>
      <c r="Y40" s="3"/>
      <c r="Z40" s="3"/>
    </row>
    <row r="41" customFormat="false" ht="15.75" hidden="false" customHeight="true" outlineLevel="0" collapsed="false">
      <c r="A41" s="44" t="n">
        <v>19</v>
      </c>
      <c r="B41" s="44" t="s">
        <v>212</v>
      </c>
      <c r="C41" s="45" t="s">
        <v>213</v>
      </c>
      <c r="D41" s="46" t="s">
        <v>214</v>
      </c>
      <c r="E41" s="47" t="s">
        <v>126</v>
      </c>
      <c r="F41" s="48" t="s">
        <v>127</v>
      </c>
      <c r="G41" s="49" t="n">
        <v>32</v>
      </c>
      <c r="H41" s="44" t="s">
        <v>128</v>
      </c>
      <c r="I41" s="44" t="n">
        <f aca="false">IF(H41="Yes",G41,0)</f>
        <v>32</v>
      </c>
      <c r="J41" s="3"/>
      <c r="K41" s="3"/>
      <c r="L41" s="3"/>
      <c r="M41" s="3"/>
      <c r="N41" s="3"/>
      <c r="O41" s="3"/>
      <c r="P41" s="3"/>
      <c r="Q41" s="3"/>
      <c r="R41" s="3"/>
      <c r="S41" s="3"/>
      <c r="T41" s="3"/>
      <c r="U41" s="3"/>
      <c r="V41" s="3"/>
      <c r="W41" s="3"/>
      <c r="X41" s="3"/>
      <c r="Y41" s="3"/>
      <c r="Z41" s="3"/>
    </row>
    <row r="42" customFormat="false" ht="15.75" hidden="false" customHeight="true" outlineLevel="0" collapsed="false">
      <c r="A42" s="44" t="n">
        <v>19</v>
      </c>
      <c r="B42" s="44" t="s">
        <v>215</v>
      </c>
      <c r="C42" s="45" t="s">
        <v>216</v>
      </c>
      <c r="D42" s="46" t="s">
        <v>217</v>
      </c>
      <c r="E42" s="47" t="s">
        <v>126</v>
      </c>
      <c r="F42" s="48" t="s">
        <v>127</v>
      </c>
      <c r="G42" s="49" t="n">
        <v>24</v>
      </c>
      <c r="H42" s="44" t="s">
        <v>128</v>
      </c>
      <c r="I42" s="44" t="n">
        <f aca="false">IF(H42="Yes",G42,0)</f>
        <v>24</v>
      </c>
      <c r="J42" s="3"/>
      <c r="K42" s="3"/>
      <c r="L42" s="3"/>
      <c r="M42" s="3"/>
      <c r="N42" s="3"/>
      <c r="O42" s="3"/>
      <c r="P42" s="3"/>
      <c r="Q42" s="3"/>
      <c r="R42" s="3"/>
      <c r="S42" s="3"/>
      <c r="T42" s="3"/>
      <c r="U42" s="3"/>
      <c r="V42" s="3"/>
      <c r="W42" s="3"/>
      <c r="X42" s="3"/>
      <c r="Y42" s="3"/>
      <c r="Z42" s="3"/>
    </row>
    <row r="43" customFormat="false" ht="15.75" hidden="false" customHeight="true" outlineLevel="0" collapsed="false">
      <c r="A43" s="6" t="n">
        <v>19</v>
      </c>
      <c r="B43" s="6" t="s">
        <v>218</v>
      </c>
      <c r="C43" s="50" t="s">
        <v>219</v>
      </c>
      <c r="D43" s="7" t="s">
        <v>220</v>
      </c>
      <c r="E43" s="6" t="s">
        <v>144</v>
      </c>
      <c r="F43" s="7" t="s">
        <v>221</v>
      </c>
      <c r="G43" s="51" t="n">
        <v>24</v>
      </c>
      <c r="H43" s="52" t="s">
        <v>128</v>
      </c>
      <c r="I43" s="6" t="n">
        <f aca="false">IF(H43="Yes",G43,0)</f>
        <v>24</v>
      </c>
      <c r="J43" s="3"/>
      <c r="K43" s="3"/>
      <c r="L43" s="3"/>
      <c r="M43" s="3"/>
      <c r="N43" s="3"/>
      <c r="O43" s="3"/>
      <c r="P43" s="3"/>
      <c r="Q43" s="3"/>
      <c r="R43" s="3"/>
      <c r="S43" s="3"/>
      <c r="T43" s="3"/>
      <c r="U43" s="3"/>
      <c r="V43" s="3"/>
      <c r="W43" s="3"/>
      <c r="X43" s="3"/>
      <c r="Y43" s="3"/>
      <c r="Z43" s="3"/>
    </row>
    <row r="44" customFormat="false" ht="15.75" hidden="false" customHeight="true" outlineLevel="0" collapsed="false">
      <c r="A44" s="6" t="n">
        <v>19</v>
      </c>
      <c r="B44" s="6" t="s">
        <v>222</v>
      </c>
      <c r="C44" s="50" t="s">
        <v>223</v>
      </c>
      <c r="D44" s="7" t="s">
        <v>224</v>
      </c>
      <c r="E44" s="6" t="s">
        <v>144</v>
      </c>
      <c r="F44" s="7" t="s">
        <v>225</v>
      </c>
      <c r="G44" s="51" t="n">
        <v>12</v>
      </c>
      <c r="H44" s="52" t="s">
        <v>128</v>
      </c>
      <c r="I44" s="6" t="n">
        <f aca="false">IF(H44="Yes",G44,0)</f>
        <v>12</v>
      </c>
      <c r="J44" s="3"/>
      <c r="K44" s="3"/>
      <c r="L44" s="3"/>
      <c r="M44" s="3"/>
      <c r="N44" s="3"/>
      <c r="O44" s="3"/>
      <c r="P44" s="3"/>
      <c r="Q44" s="3"/>
      <c r="R44" s="3"/>
      <c r="S44" s="3"/>
      <c r="T44" s="3"/>
      <c r="U44" s="3"/>
      <c r="V44" s="3"/>
      <c r="W44" s="3"/>
      <c r="X44" s="3"/>
      <c r="Y44" s="3"/>
      <c r="Z44" s="3"/>
    </row>
    <row r="45" customFormat="false" ht="15.75" hidden="false" customHeight="true" outlineLevel="0" collapsed="false">
      <c r="A45" s="6" t="n">
        <v>19</v>
      </c>
      <c r="B45" s="6" t="s">
        <v>226</v>
      </c>
      <c r="C45" s="50" t="s">
        <v>227</v>
      </c>
      <c r="D45" s="7" t="s">
        <v>228</v>
      </c>
      <c r="E45" s="6" t="s">
        <v>144</v>
      </c>
      <c r="F45" s="7" t="s">
        <v>229</v>
      </c>
      <c r="G45" s="51" t="n">
        <v>12</v>
      </c>
      <c r="H45" s="52" t="s">
        <v>128</v>
      </c>
      <c r="I45" s="6" t="n">
        <f aca="false">IF(H45="Yes",G45,0)</f>
        <v>12</v>
      </c>
      <c r="J45" s="3"/>
      <c r="K45" s="3"/>
      <c r="L45" s="3"/>
      <c r="M45" s="3"/>
      <c r="N45" s="3"/>
      <c r="O45" s="3"/>
      <c r="P45" s="3"/>
      <c r="Q45" s="3"/>
      <c r="R45" s="3"/>
      <c r="S45" s="3"/>
      <c r="T45" s="3"/>
      <c r="U45" s="3"/>
      <c r="V45" s="3"/>
      <c r="W45" s="3"/>
      <c r="X45" s="3"/>
      <c r="Y45" s="3"/>
      <c r="Z45" s="3"/>
    </row>
    <row r="46" customFormat="false" ht="15.75" hidden="false" customHeight="true" outlineLevel="0" collapsed="false">
      <c r="A46" s="6" t="n">
        <v>19</v>
      </c>
      <c r="B46" s="6" t="s">
        <v>230</v>
      </c>
      <c r="C46" s="50" t="s">
        <v>231</v>
      </c>
      <c r="D46" s="7" t="s">
        <v>232</v>
      </c>
      <c r="E46" s="6" t="s">
        <v>144</v>
      </c>
      <c r="F46" s="7" t="s">
        <v>233</v>
      </c>
      <c r="G46" s="51" t="n">
        <v>20</v>
      </c>
      <c r="H46" s="52" t="s">
        <v>128</v>
      </c>
      <c r="I46" s="6" t="n">
        <f aca="false">IF(H46="Yes",G46,0)</f>
        <v>20</v>
      </c>
      <c r="J46" s="3"/>
      <c r="K46" s="3"/>
      <c r="L46" s="3"/>
      <c r="M46" s="3"/>
      <c r="N46" s="3"/>
      <c r="O46" s="3"/>
      <c r="P46" s="3"/>
      <c r="Q46" s="3"/>
      <c r="R46" s="3"/>
      <c r="S46" s="3"/>
      <c r="T46" s="3"/>
      <c r="U46" s="3"/>
      <c r="V46" s="3"/>
      <c r="W46" s="3"/>
      <c r="X46" s="3"/>
      <c r="Y46" s="3"/>
      <c r="Z46" s="3"/>
    </row>
    <row r="47" customFormat="false" ht="15.75" hidden="false" customHeight="true" outlineLevel="0" collapsed="false">
      <c r="A47" s="6" t="n">
        <v>19</v>
      </c>
      <c r="B47" s="6" t="s">
        <v>234</v>
      </c>
      <c r="C47" s="50" t="s">
        <v>235</v>
      </c>
      <c r="D47" s="7" t="s">
        <v>236</v>
      </c>
      <c r="E47" s="6" t="s">
        <v>144</v>
      </c>
      <c r="F47" s="7" t="s">
        <v>237</v>
      </c>
      <c r="G47" s="51" t="n">
        <v>20</v>
      </c>
      <c r="H47" s="52" t="s">
        <v>128</v>
      </c>
      <c r="I47" s="6" t="n">
        <f aca="false">IF(H47="Yes",G47,0)</f>
        <v>20</v>
      </c>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53" t="s">
        <v>158</v>
      </c>
      <c r="D48" s="53"/>
      <c r="E48" s="53"/>
      <c r="F48" s="53"/>
      <c r="G48" s="54" t="n">
        <f aca="false">SUMIFS(G39:G47,E39:E47,"Core")</f>
        <v>104</v>
      </c>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53" t="s">
        <v>159</v>
      </c>
      <c r="D49" s="53"/>
      <c r="E49" s="53"/>
      <c r="F49" s="53"/>
      <c r="G49" s="54" t="n">
        <f aca="false">SUMIFS(G39:G47,E39:E47,"Optional")</f>
        <v>88</v>
      </c>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53" t="s">
        <v>160</v>
      </c>
      <c r="D50" s="53"/>
      <c r="E50" s="53"/>
      <c r="F50" s="53"/>
      <c r="G50" s="3"/>
      <c r="H50" s="3"/>
      <c r="I50" s="55" t="n">
        <f aca="false">SUM(I39:I47)</f>
        <v>192</v>
      </c>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21.75" hidden="false" customHeight="true" outlineLevel="0" collapsed="false">
      <c r="A52" s="40" t="n">
        <v>21</v>
      </c>
      <c r="B52" s="41" t="s">
        <v>238</v>
      </c>
      <c r="C52" s="41"/>
      <c r="D52" s="41"/>
      <c r="E52" s="41"/>
      <c r="F52" s="41"/>
      <c r="G52" s="41"/>
      <c r="H52" s="41"/>
      <c r="I52" s="41"/>
      <c r="J52" s="3"/>
      <c r="K52" s="3"/>
      <c r="L52" s="3"/>
      <c r="M52" s="3"/>
      <c r="N52" s="3"/>
      <c r="O52" s="3"/>
      <c r="P52" s="3"/>
      <c r="Q52" s="3"/>
      <c r="R52" s="3"/>
      <c r="S52" s="3"/>
      <c r="T52" s="3"/>
      <c r="U52" s="3"/>
      <c r="V52" s="3"/>
      <c r="W52" s="3"/>
      <c r="X52" s="3"/>
      <c r="Y52" s="3"/>
      <c r="Z52" s="3"/>
    </row>
    <row r="53" customFormat="false" ht="15.75" hidden="false" customHeight="true" outlineLevel="0" collapsed="false">
      <c r="A53" s="42" t="s">
        <v>3</v>
      </c>
      <c r="B53" s="42" t="s">
        <v>116</v>
      </c>
      <c r="C53" s="43" t="s">
        <v>117</v>
      </c>
      <c r="D53" s="43" t="s">
        <v>118</v>
      </c>
      <c r="E53" s="42" t="s">
        <v>119</v>
      </c>
      <c r="F53" s="43" t="s">
        <v>120</v>
      </c>
      <c r="G53" s="42" t="s">
        <v>121</v>
      </c>
      <c r="H53" s="42" t="s">
        <v>122</v>
      </c>
      <c r="I53" s="42" t="s">
        <v>9</v>
      </c>
      <c r="J53" s="3"/>
      <c r="K53" s="3"/>
      <c r="L53" s="3"/>
      <c r="M53" s="3"/>
      <c r="N53" s="3"/>
      <c r="O53" s="3"/>
      <c r="P53" s="3"/>
      <c r="Q53" s="3"/>
      <c r="R53" s="3"/>
      <c r="S53" s="3"/>
      <c r="T53" s="3"/>
      <c r="U53" s="3"/>
      <c r="V53" s="3"/>
      <c r="W53" s="3"/>
      <c r="X53" s="3"/>
      <c r="Y53" s="3"/>
      <c r="Z53" s="3"/>
    </row>
    <row r="54" customFormat="false" ht="15.75" hidden="false" customHeight="true" outlineLevel="0" collapsed="false">
      <c r="A54" s="44" t="n">
        <v>21</v>
      </c>
      <c r="B54" s="44" t="s">
        <v>239</v>
      </c>
      <c r="C54" s="45" t="s">
        <v>240</v>
      </c>
      <c r="D54" s="46" t="s">
        <v>241</v>
      </c>
      <c r="E54" s="47" t="s">
        <v>126</v>
      </c>
      <c r="F54" s="48" t="s">
        <v>127</v>
      </c>
      <c r="G54" s="49" t="n">
        <v>16</v>
      </c>
      <c r="H54" s="44" t="s">
        <v>128</v>
      </c>
      <c r="I54" s="44" t="n">
        <f aca="false">IF(H54="Yes",G54,0)</f>
        <v>16</v>
      </c>
      <c r="J54" s="3"/>
      <c r="K54" s="3"/>
      <c r="L54" s="3"/>
      <c r="M54" s="3"/>
      <c r="N54" s="3"/>
      <c r="O54" s="3"/>
      <c r="P54" s="3"/>
      <c r="Q54" s="3"/>
      <c r="R54" s="3"/>
      <c r="S54" s="3"/>
      <c r="T54" s="3"/>
      <c r="U54" s="3"/>
      <c r="V54" s="3"/>
      <c r="W54" s="3"/>
      <c r="X54" s="3"/>
      <c r="Y54" s="3"/>
      <c r="Z54" s="3"/>
    </row>
    <row r="55" customFormat="false" ht="15.75" hidden="false" customHeight="true" outlineLevel="0" collapsed="false">
      <c r="A55" s="44" t="n">
        <v>21</v>
      </c>
      <c r="B55" s="44" t="s">
        <v>242</v>
      </c>
      <c r="C55" s="45" t="s">
        <v>243</v>
      </c>
      <c r="D55" s="46" t="s">
        <v>244</v>
      </c>
      <c r="E55" s="47" t="s">
        <v>126</v>
      </c>
      <c r="F55" s="48" t="s">
        <v>127</v>
      </c>
      <c r="G55" s="49" t="n">
        <v>40</v>
      </c>
      <c r="H55" s="44" t="s">
        <v>128</v>
      </c>
      <c r="I55" s="44" t="n">
        <f aca="false">IF(H55="Yes",G55,0)</f>
        <v>40</v>
      </c>
      <c r="J55" s="3"/>
      <c r="K55" s="3"/>
      <c r="L55" s="3"/>
      <c r="M55" s="3"/>
      <c r="N55" s="3"/>
      <c r="O55" s="3"/>
      <c r="P55" s="3"/>
      <c r="Q55" s="3"/>
      <c r="R55" s="3"/>
      <c r="S55" s="3"/>
      <c r="T55" s="3"/>
      <c r="U55" s="3"/>
      <c r="V55" s="3"/>
      <c r="W55" s="3"/>
      <c r="X55" s="3"/>
      <c r="Y55" s="3"/>
      <c r="Z55" s="3"/>
    </row>
    <row r="56" customFormat="false" ht="15.75" hidden="false" customHeight="true" outlineLevel="0" collapsed="false">
      <c r="A56" s="44" t="n">
        <v>21</v>
      </c>
      <c r="B56" s="44" t="s">
        <v>245</v>
      </c>
      <c r="C56" s="45" t="s">
        <v>246</v>
      </c>
      <c r="D56" s="46" t="s">
        <v>247</v>
      </c>
      <c r="E56" s="47" t="s">
        <v>126</v>
      </c>
      <c r="F56" s="48" t="s">
        <v>127</v>
      </c>
      <c r="G56" s="49" t="n">
        <v>24</v>
      </c>
      <c r="H56" s="44" t="s">
        <v>128</v>
      </c>
      <c r="I56" s="44" t="n">
        <f aca="false">IF(H56="Yes",G56,0)</f>
        <v>24</v>
      </c>
      <c r="J56" s="3"/>
      <c r="K56" s="3"/>
      <c r="L56" s="3"/>
      <c r="M56" s="3"/>
      <c r="N56" s="3"/>
      <c r="O56" s="3"/>
      <c r="P56" s="3"/>
      <c r="Q56" s="3"/>
      <c r="R56" s="3"/>
      <c r="S56" s="3"/>
      <c r="T56" s="3"/>
      <c r="U56" s="3"/>
      <c r="V56" s="3"/>
      <c r="W56" s="3"/>
      <c r="X56" s="3"/>
      <c r="Y56" s="3"/>
      <c r="Z56" s="3"/>
    </row>
    <row r="57" customFormat="false" ht="15.75" hidden="false" customHeight="true" outlineLevel="0" collapsed="false">
      <c r="A57" s="6" t="n">
        <v>21</v>
      </c>
      <c r="B57" s="6" t="s">
        <v>248</v>
      </c>
      <c r="C57" s="50" t="s">
        <v>249</v>
      </c>
      <c r="D57" s="7" t="s">
        <v>250</v>
      </c>
      <c r="E57" s="6" t="s">
        <v>144</v>
      </c>
      <c r="F57" s="7" t="s">
        <v>251</v>
      </c>
      <c r="G57" s="51" t="n">
        <v>12</v>
      </c>
      <c r="H57" s="52" t="s">
        <v>128</v>
      </c>
      <c r="I57" s="6" t="n">
        <f aca="false">IF(H57="Yes",G57,0)</f>
        <v>12</v>
      </c>
      <c r="J57" s="3"/>
      <c r="K57" s="3"/>
      <c r="L57" s="3"/>
      <c r="M57" s="3"/>
      <c r="N57" s="3"/>
      <c r="O57" s="3"/>
      <c r="P57" s="3"/>
      <c r="Q57" s="3"/>
      <c r="R57" s="3"/>
      <c r="S57" s="3"/>
      <c r="T57" s="3"/>
      <c r="U57" s="3"/>
      <c r="V57" s="3"/>
      <c r="W57" s="3"/>
      <c r="X57" s="3"/>
      <c r="Y57" s="3"/>
      <c r="Z57" s="3"/>
    </row>
    <row r="58" customFormat="false" ht="15.75" hidden="false" customHeight="true" outlineLevel="0" collapsed="false">
      <c r="A58" s="6" t="n">
        <v>21</v>
      </c>
      <c r="B58" s="6" t="s">
        <v>252</v>
      </c>
      <c r="C58" s="50" t="s">
        <v>253</v>
      </c>
      <c r="D58" s="7" t="s">
        <v>254</v>
      </c>
      <c r="E58" s="6" t="s">
        <v>144</v>
      </c>
      <c r="F58" s="7" t="s">
        <v>255</v>
      </c>
      <c r="G58" s="51" t="n">
        <v>8</v>
      </c>
      <c r="H58" s="52" t="s">
        <v>128</v>
      </c>
      <c r="I58" s="6" t="n">
        <f aca="false">IF(H58="Yes",G58,0)</f>
        <v>8</v>
      </c>
      <c r="J58" s="3"/>
      <c r="K58" s="3"/>
      <c r="L58" s="3"/>
      <c r="M58" s="3"/>
      <c r="N58" s="3"/>
      <c r="O58" s="3"/>
      <c r="P58" s="3"/>
      <c r="Q58" s="3"/>
      <c r="R58" s="3"/>
      <c r="S58" s="3"/>
      <c r="T58" s="3"/>
      <c r="U58" s="3"/>
      <c r="V58" s="3"/>
      <c r="W58" s="3"/>
      <c r="X58" s="3"/>
      <c r="Y58" s="3"/>
      <c r="Z58" s="3"/>
    </row>
    <row r="59" customFormat="false" ht="15.75" hidden="false" customHeight="true" outlineLevel="0" collapsed="false">
      <c r="A59" s="6" t="n">
        <v>21</v>
      </c>
      <c r="B59" s="6" t="s">
        <v>256</v>
      </c>
      <c r="C59" s="50" t="s">
        <v>257</v>
      </c>
      <c r="D59" s="7" t="s">
        <v>258</v>
      </c>
      <c r="E59" s="6" t="s">
        <v>144</v>
      </c>
      <c r="F59" s="7" t="s">
        <v>259</v>
      </c>
      <c r="G59" s="51" t="n">
        <v>8</v>
      </c>
      <c r="H59" s="52" t="s">
        <v>128</v>
      </c>
      <c r="I59" s="6" t="n">
        <f aca="false">IF(H59="Yes",G59,0)</f>
        <v>8</v>
      </c>
      <c r="J59" s="3"/>
      <c r="K59" s="3"/>
      <c r="L59" s="3"/>
      <c r="M59" s="3"/>
      <c r="N59" s="3"/>
      <c r="O59" s="3"/>
      <c r="P59" s="3"/>
      <c r="Q59" s="3"/>
      <c r="R59" s="3"/>
      <c r="S59" s="3"/>
      <c r="T59" s="3"/>
      <c r="U59" s="3"/>
      <c r="V59" s="3"/>
      <c r="W59" s="3"/>
      <c r="X59" s="3"/>
      <c r="Y59" s="3"/>
      <c r="Z59" s="3"/>
    </row>
    <row r="60" customFormat="false" ht="15.75" hidden="false" customHeight="true" outlineLevel="0" collapsed="false">
      <c r="A60" s="6" t="n">
        <v>21</v>
      </c>
      <c r="B60" s="6" t="s">
        <v>260</v>
      </c>
      <c r="C60" s="50" t="s">
        <v>261</v>
      </c>
      <c r="D60" s="7" t="s">
        <v>262</v>
      </c>
      <c r="E60" s="6" t="s">
        <v>144</v>
      </c>
      <c r="F60" s="7" t="s">
        <v>263</v>
      </c>
      <c r="G60" s="51" t="n">
        <v>16</v>
      </c>
      <c r="H60" s="52" t="s">
        <v>128</v>
      </c>
      <c r="I60" s="6" t="n">
        <f aca="false">IF(H60="Yes",G60,0)</f>
        <v>16</v>
      </c>
      <c r="J60" s="3"/>
      <c r="K60" s="3"/>
      <c r="L60" s="3"/>
      <c r="M60" s="3"/>
      <c r="N60" s="3"/>
      <c r="O60" s="3"/>
      <c r="P60" s="3"/>
      <c r="Q60" s="3"/>
      <c r="R60" s="3"/>
      <c r="S60" s="3"/>
      <c r="T60" s="3"/>
      <c r="U60" s="3"/>
      <c r="V60" s="3"/>
      <c r="W60" s="3"/>
      <c r="X60" s="3"/>
      <c r="Y60" s="3"/>
      <c r="Z60" s="3"/>
    </row>
    <row r="61" customFormat="false" ht="15.75" hidden="false" customHeight="true" outlineLevel="0" collapsed="false">
      <c r="A61" s="6" t="n">
        <v>21</v>
      </c>
      <c r="B61" s="6" t="s">
        <v>264</v>
      </c>
      <c r="C61" s="50" t="s">
        <v>265</v>
      </c>
      <c r="D61" s="7" t="s">
        <v>266</v>
      </c>
      <c r="E61" s="6" t="s">
        <v>144</v>
      </c>
      <c r="F61" s="7" t="s">
        <v>267</v>
      </c>
      <c r="G61" s="51" t="n">
        <v>12</v>
      </c>
      <c r="H61" s="52" t="s">
        <v>128</v>
      </c>
      <c r="I61" s="6" t="n">
        <f aca="false">IF(H61="Yes",G61,0)</f>
        <v>12</v>
      </c>
      <c r="J61" s="3"/>
      <c r="K61" s="3"/>
      <c r="L61" s="3"/>
      <c r="M61" s="3"/>
      <c r="N61" s="3"/>
      <c r="O61" s="3"/>
      <c r="P61" s="3"/>
      <c r="Q61" s="3"/>
      <c r="R61" s="3"/>
      <c r="S61" s="3"/>
      <c r="T61" s="3"/>
      <c r="U61" s="3"/>
      <c r="V61" s="3"/>
      <c r="W61" s="3"/>
      <c r="X61" s="3"/>
      <c r="Y61" s="3"/>
      <c r="Z61" s="3"/>
    </row>
    <row r="62" customFormat="false" ht="15.75" hidden="false" customHeight="true" outlineLevel="0" collapsed="false">
      <c r="A62" s="6" t="n">
        <v>21</v>
      </c>
      <c r="B62" s="6" t="s">
        <v>268</v>
      </c>
      <c r="C62" s="50" t="s">
        <v>269</v>
      </c>
      <c r="D62" s="7" t="s">
        <v>270</v>
      </c>
      <c r="E62" s="6" t="s">
        <v>144</v>
      </c>
      <c r="F62" s="7" t="s">
        <v>271</v>
      </c>
      <c r="G62" s="51" t="n">
        <v>8</v>
      </c>
      <c r="H62" s="52" t="s">
        <v>128</v>
      </c>
      <c r="I62" s="6" t="n">
        <f aca="false">IF(H62="Yes",G62,0)</f>
        <v>8</v>
      </c>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53" t="s">
        <v>158</v>
      </c>
      <c r="D63" s="53"/>
      <c r="E63" s="53"/>
      <c r="F63" s="53"/>
      <c r="G63" s="54" t="n">
        <f aca="false">SUMIFS(G54:G62,E54:E62,"Core")</f>
        <v>80</v>
      </c>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53" t="s">
        <v>159</v>
      </c>
      <c r="D64" s="53"/>
      <c r="E64" s="53"/>
      <c r="F64" s="53"/>
      <c r="G64" s="54" t="n">
        <f aca="false">SUMIFS(G54:G62,E54:E62,"Optional")</f>
        <v>64</v>
      </c>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53" t="s">
        <v>160</v>
      </c>
      <c r="D65" s="53"/>
      <c r="E65" s="53"/>
      <c r="F65" s="53"/>
      <c r="G65" s="3"/>
      <c r="H65" s="3"/>
      <c r="I65" s="55" t="n">
        <f aca="false">SUM(I54:I62)</f>
        <v>144</v>
      </c>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21.75" hidden="false" customHeight="true" outlineLevel="0" collapsed="false">
      <c r="A67" s="40" t="n">
        <v>22</v>
      </c>
      <c r="B67" s="41" t="s">
        <v>272</v>
      </c>
      <c r="C67" s="41"/>
      <c r="D67" s="41"/>
      <c r="E67" s="41"/>
      <c r="F67" s="41"/>
      <c r="G67" s="41"/>
      <c r="H67" s="41"/>
      <c r="I67" s="41"/>
      <c r="J67" s="3"/>
      <c r="K67" s="3"/>
      <c r="L67" s="3"/>
      <c r="M67" s="3"/>
      <c r="N67" s="3"/>
      <c r="O67" s="3"/>
      <c r="P67" s="3"/>
      <c r="Q67" s="3"/>
      <c r="R67" s="3"/>
      <c r="S67" s="3"/>
      <c r="T67" s="3"/>
      <c r="U67" s="3"/>
      <c r="V67" s="3"/>
      <c r="W67" s="3"/>
      <c r="X67" s="3"/>
      <c r="Y67" s="3"/>
      <c r="Z67" s="3"/>
    </row>
    <row r="68" customFormat="false" ht="15.75" hidden="false" customHeight="true" outlineLevel="0" collapsed="false">
      <c r="A68" s="42" t="s">
        <v>3</v>
      </c>
      <c r="B68" s="42" t="s">
        <v>116</v>
      </c>
      <c r="C68" s="43" t="s">
        <v>117</v>
      </c>
      <c r="D68" s="43" t="s">
        <v>118</v>
      </c>
      <c r="E68" s="42" t="s">
        <v>119</v>
      </c>
      <c r="F68" s="43" t="s">
        <v>120</v>
      </c>
      <c r="G68" s="42" t="s">
        <v>121</v>
      </c>
      <c r="H68" s="42" t="s">
        <v>122</v>
      </c>
      <c r="I68" s="42" t="s">
        <v>9</v>
      </c>
      <c r="J68" s="3"/>
      <c r="K68" s="3"/>
      <c r="L68" s="3"/>
      <c r="M68" s="3"/>
      <c r="N68" s="3"/>
      <c r="O68" s="3"/>
      <c r="P68" s="3"/>
      <c r="Q68" s="3"/>
      <c r="R68" s="3"/>
      <c r="S68" s="3"/>
      <c r="T68" s="3"/>
      <c r="U68" s="3"/>
      <c r="V68" s="3"/>
      <c r="W68" s="3"/>
      <c r="X68" s="3"/>
      <c r="Y68" s="3"/>
      <c r="Z68" s="3"/>
    </row>
    <row r="69" customFormat="false" ht="15.75" hidden="false" customHeight="true" outlineLevel="0" collapsed="false">
      <c r="A69" s="44" t="n">
        <v>22</v>
      </c>
      <c r="B69" s="44" t="s">
        <v>273</v>
      </c>
      <c r="C69" s="45" t="s">
        <v>274</v>
      </c>
      <c r="D69" s="46" t="s">
        <v>275</v>
      </c>
      <c r="E69" s="47" t="s">
        <v>126</v>
      </c>
      <c r="F69" s="48" t="s">
        <v>127</v>
      </c>
      <c r="G69" s="49" t="n">
        <v>48</v>
      </c>
      <c r="H69" s="44" t="s">
        <v>128</v>
      </c>
      <c r="I69" s="44" t="n">
        <f aca="false">IF(H69="Yes",G69,0)</f>
        <v>48</v>
      </c>
      <c r="J69" s="3"/>
      <c r="K69" s="3"/>
      <c r="L69" s="3"/>
      <c r="M69" s="3"/>
      <c r="N69" s="3"/>
      <c r="O69" s="3"/>
      <c r="P69" s="3"/>
      <c r="Q69" s="3"/>
      <c r="R69" s="3"/>
      <c r="S69" s="3"/>
      <c r="T69" s="3"/>
      <c r="U69" s="3"/>
      <c r="V69" s="3"/>
      <c r="W69" s="3"/>
      <c r="X69" s="3"/>
      <c r="Y69" s="3"/>
      <c r="Z69" s="3"/>
    </row>
    <row r="70" customFormat="false" ht="15.75" hidden="false" customHeight="true" outlineLevel="0" collapsed="false">
      <c r="A70" s="44" t="n">
        <v>22</v>
      </c>
      <c r="B70" s="44" t="s">
        <v>276</v>
      </c>
      <c r="C70" s="45" t="s">
        <v>277</v>
      </c>
      <c r="D70" s="46" t="s">
        <v>278</v>
      </c>
      <c r="E70" s="47" t="s">
        <v>126</v>
      </c>
      <c r="F70" s="48" t="s">
        <v>127</v>
      </c>
      <c r="G70" s="49" t="n">
        <v>40</v>
      </c>
      <c r="H70" s="44" t="s">
        <v>128</v>
      </c>
      <c r="I70" s="44" t="n">
        <f aca="false">IF(H70="Yes",G70,0)</f>
        <v>40</v>
      </c>
      <c r="J70" s="3"/>
      <c r="K70" s="3"/>
      <c r="L70" s="3"/>
      <c r="M70" s="3"/>
      <c r="N70" s="3"/>
      <c r="O70" s="3"/>
      <c r="P70" s="3"/>
      <c r="Q70" s="3"/>
      <c r="R70" s="3"/>
      <c r="S70" s="3"/>
      <c r="T70" s="3"/>
      <c r="U70" s="3"/>
      <c r="V70" s="3"/>
      <c r="W70" s="3"/>
      <c r="X70" s="3"/>
      <c r="Y70" s="3"/>
      <c r="Z70" s="3"/>
    </row>
    <row r="71" customFormat="false" ht="15.75" hidden="false" customHeight="true" outlineLevel="0" collapsed="false">
      <c r="A71" s="44" t="n">
        <v>22</v>
      </c>
      <c r="B71" s="44" t="s">
        <v>279</v>
      </c>
      <c r="C71" s="45" t="s">
        <v>280</v>
      </c>
      <c r="D71" s="46" t="s">
        <v>281</v>
      </c>
      <c r="E71" s="47" t="s">
        <v>126</v>
      </c>
      <c r="F71" s="48" t="s">
        <v>127</v>
      </c>
      <c r="G71" s="49" t="n">
        <v>32</v>
      </c>
      <c r="H71" s="44" t="s">
        <v>128</v>
      </c>
      <c r="I71" s="44" t="n">
        <f aca="false">IF(H71="Yes",G71,0)</f>
        <v>32</v>
      </c>
      <c r="J71" s="3"/>
      <c r="K71" s="3"/>
      <c r="L71" s="3"/>
      <c r="M71" s="3"/>
      <c r="N71" s="3"/>
      <c r="O71" s="3"/>
      <c r="P71" s="3"/>
      <c r="Q71" s="3"/>
      <c r="R71" s="3"/>
      <c r="S71" s="3"/>
      <c r="T71" s="3"/>
      <c r="U71" s="3"/>
      <c r="V71" s="3"/>
      <c r="W71" s="3"/>
      <c r="X71" s="3"/>
      <c r="Y71" s="3"/>
      <c r="Z71" s="3"/>
    </row>
    <row r="72" customFormat="false" ht="15.75" hidden="false" customHeight="true" outlineLevel="0" collapsed="false">
      <c r="A72" s="44" t="n">
        <v>22</v>
      </c>
      <c r="B72" s="44" t="s">
        <v>282</v>
      </c>
      <c r="C72" s="45" t="s">
        <v>283</v>
      </c>
      <c r="D72" s="46" t="s">
        <v>284</v>
      </c>
      <c r="E72" s="47" t="s">
        <v>126</v>
      </c>
      <c r="F72" s="48" t="s">
        <v>127</v>
      </c>
      <c r="G72" s="49" t="n">
        <v>32</v>
      </c>
      <c r="H72" s="44" t="s">
        <v>128</v>
      </c>
      <c r="I72" s="44" t="n">
        <f aca="false">IF(H72="Yes",G72,0)</f>
        <v>32</v>
      </c>
      <c r="J72" s="3"/>
      <c r="K72" s="3"/>
      <c r="L72" s="3"/>
      <c r="M72" s="3"/>
      <c r="N72" s="3"/>
      <c r="O72" s="3"/>
      <c r="P72" s="3"/>
      <c r="Q72" s="3"/>
      <c r="R72" s="3"/>
      <c r="S72" s="3"/>
      <c r="T72" s="3"/>
      <c r="U72" s="3"/>
      <c r="V72" s="3"/>
      <c r="W72" s="3"/>
      <c r="X72" s="3"/>
      <c r="Y72" s="3"/>
      <c r="Z72" s="3"/>
    </row>
    <row r="73" customFormat="false" ht="15.75" hidden="false" customHeight="true" outlineLevel="0" collapsed="false">
      <c r="A73" s="44" t="n">
        <v>22</v>
      </c>
      <c r="B73" s="44" t="s">
        <v>285</v>
      </c>
      <c r="C73" s="45" t="s">
        <v>286</v>
      </c>
      <c r="D73" s="46" t="s">
        <v>287</v>
      </c>
      <c r="E73" s="47" t="s">
        <v>126</v>
      </c>
      <c r="F73" s="48" t="s">
        <v>127</v>
      </c>
      <c r="G73" s="49" t="n">
        <v>32</v>
      </c>
      <c r="H73" s="44" t="s">
        <v>128</v>
      </c>
      <c r="I73" s="44" t="n">
        <f aca="false">IF(H73="Yes",G73,0)</f>
        <v>32</v>
      </c>
      <c r="J73" s="3"/>
      <c r="K73" s="3"/>
      <c r="L73" s="3"/>
      <c r="M73" s="3"/>
      <c r="N73" s="3"/>
      <c r="O73" s="3"/>
      <c r="P73" s="3"/>
      <c r="Q73" s="3"/>
      <c r="R73" s="3"/>
      <c r="S73" s="3"/>
      <c r="T73" s="3"/>
      <c r="U73" s="3"/>
      <c r="V73" s="3"/>
      <c r="W73" s="3"/>
      <c r="X73" s="3"/>
      <c r="Y73" s="3"/>
      <c r="Z73" s="3"/>
    </row>
    <row r="74" customFormat="false" ht="15.75" hidden="false" customHeight="true" outlineLevel="0" collapsed="false">
      <c r="A74" s="6" t="n">
        <v>22</v>
      </c>
      <c r="B74" s="6" t="s">
        <v>288</v>
      </c>
      <c r="C74" s="50" t="s">
        <v>289</v>
      </c>
      <c r="D74" s="7" t="s">
        <v>290</v>
      </c>
      <c r="E74" s="6" t="s">
        <v>144</v>
      </c>
      <c r="F74" s="7" t="s">
        <v>291</v>
      </c>
      <c r="G74" s="51" t="n">
        <v>20</v>
      </c>
      <c r="H74" s="52" t="s">
        <v>128</v>
      </c>
      <c r="I74" s="6" t="n">
        <f aca="false">IF(H74="Yes",G74,0)</f>
        <v>20</v>
      </c>
      <c r="J74" s="3"/>
      <c r="K74" s="3"/>
      <c r="L74" s="3"/>
      <c r="M74" s="3"/>
      <c r="N74" s="3"/>
      <c r="O74" s="3"/>
      <c r="P74" s="3"/>
      <c r="Q74" s="3"/>
      <c r="R74" s="3"/>
      <c r="S74" s="3"/>
      <c r="T74" s="3"/>
      <c r="U74" s="3"/>
      <c r="V74" s="3"/>
      <c r="W74" s="3"/>
      <c r="X74" s="3"/>
      <c r="Y74" s="3"/>
      <c r="Z74" s="3"/>
    </row>
    <row r="75" customFormat="false" ht="15.75" hidden="false" customHeight="true" outlineLevel="0" collapsed="false">
      <c r="A75" s="6" t="n">
        <v>22</v>
      </c>
      <c r="B75" s="6" t="s">
        <v>292</v>
      </c>
      <c r="C75" s="50" t="s">
        <v>293</v>
      </c>
      <c r="D75" s="7" t="s">
        <v>294</v>
      </c>
      <c r="E75" s="6" t="s">
        <v>144</v>
      </c>
      <c r="F75" s="7" t="s">
        <v>295</v>
      </c>
      <c r="G75" s="51" t="n">
        <v>8</v>
      </c>
      <c r="H75" s="52" t="s">
        <v>128</v>
      </c>
      <c r="I75" s="6" t="n">
        <f aca="false">IF(H75="Yes",G75,0)</f>
        <v>8</v>
      </c>
      <c r="J75" s="3"/>
      <c r="K75" s="3"/>
      <c r="L75" s="3"/>
      <c r="M75" s="3"/>
      <c r="N75" s="3"/>
      <c r="O75" s="3"/>
      <c r="P75" s="3"/>
      <c r="Q75" s="3"/>
      <c r="R75" s="3"/>
      <c r="S75" s="3"/>
      <c r="T75" s="3"/>
      <c r="U75" s="3"/>
      <c r="V75" s="3"/>
      <c r="W75" s="3"/>
      <c r="X75" s="3"/>
      <c r="Y75" s="3"/>
      <c r="Z75" s="3"/>
    </row>
    <row r="76" customFormat="false" ht="15.75" hidden="false" customHeight="true" outlineLevel="0" collapsed="false">
      <c r="A76" s="6" t="n">
        <v>22</v>
      </c>
      <c r="B76" s="6" t="s">
        <v>296</v>
      </c>
      <c r="C76" s="50" t="s">
        <v>297</v>
      </c>
      <c r="D76" s="7" t="s">
        <v>298</v>
      </c>
      <c r="E76" s="6" t="s">
        <v>144</v>
      </c>
      <c r="F76" s="7" t="s">
        <v>299</v>
      </c>
      <c r="G76" s="51" t="n">
        <v>12</v>
      </c>
      <c r="H76" s="52" t="s">
        <v>128</v>
      </c>
      <c r="I76" s="6" t="n">
        <f aca="false">IF(H76="Yes",G76,0)</f>
        <v>12</v>
      </c>
      <c r="J76" s="3"/>
      <c r="K76" s="3"/>
      <c r="L76" s="3"/>
      <c r="M76" s="3"/>
      <c r="N76" s="3"/>
      <c r="O76" s="3"/>
      <c r="P76" s="3"/>
      <c r="Q76" s="3"/>
      <c r="R76" s="3"/>
      <c r="S76" s="3"/>
      <c r="T76" s="3"/>
      <c r="U76" s="3"/>
      <c r="V76" s="3"/>
      <c r="W76" s="3"/>
      <c r="X76" s="3"/>
      <c r="Y76" s="3"/>
      <c r="Z76" s="3"/>
    </row>
    <row r="77" customFormat="false" ht="15.75" hidden="false" customHeight="true" outlineLevel="0" collapsed="false">
      <c r="A77" s="6" t="n">
        <v>22</v>
      </c>
      <c r="B77" s="6" t="s">
        <v>300</v>
      </c>
      <c r="C77" s="50" t="s">
        <v>301</v>
      </c>
      <c r="D77" s="7" t="s">
        <v>302</v>
      </c>
      <c r="E77" s="6" t="s">
        <v>144</v>
      </c>
      <c r="F77" s="7" t="s">
        <v>303</v>
      </c>
      <c r="G77" s="51" t="n">
        <v>16</v>
      </c>
      <c r="H77" s="52" t="s">
        <v>128</v>
      </c>
      <c r="I77" s="6" t="n">
        <f aca="false">IF(H77="Yes",G77,0)</f>
        <v>16</v>
      </c>
      <c r="J77" s="3"/>
      <c r="K77" s="3"/>
      <c r="L77" s="3"/>
      <c r="M77" s="3"/>
      <c r="N77" s="3"/>
      <c r="O77" s="3"/>
      <c r="P77" s="3"/>
      <c r="Q77" s="3"/>
      <c r="R77" s="3"/>
      <c r="S77" s="3"/>
      <c r="T77" s="3"/>
      <c r="U77" s="3"/>
      <c r="V77" s="3"/>
      <c r="W77" s="3"/>
      <c r="X77" s="3"/>
      <c r="Y77" s="3"/>
      <c r="Z77" s="3"/>
    </row>
    <row r="78" customFormat="false" ht="15.75" hidden="false" customHeight="true" outlineLevel="0" collapsed="false">
      <c r="A78" s="6" t="n">
        <v>22</v>
      </c>
      <c r="B78" s="6" t="s">
        <v>304</v>
      </c>
      <c r="C78" s="50" t="s">
        <v>305</v>
      </c>
      <c r="D78" s="7" t="s">
        <v>306</v>
      </c>
      <c r="E78" s="6" t="s">
        <v>144</v>
      </c>
      <c r="F78" s="7" t="s">
        <v>307</v>
      </c>
      <c r="G78" s="51" t="n">
        <v>16</v>
      </c>
      <c r="H78" s="52" t="s">
        <v>128</v>
      </c>
      <c r="I78" s="6" t="n">
        <f aca="false">IF(H78="Yes",G78,0)</f>
        <v>16</v>
      </c>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53" t="s">
        <v>158</v>
      </c>
      <c r="D79" s="53"/>
      <c r="E79" s="53"/>
      <c r="F79" s="53"/>
      <c r="G79" s="54" t="n">
        <f aca="false">SUMIFS(G69:G78,E69:E78,"Core")</f>
        <v>184</v>
      </c>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53" t="s">
        <v>159</v>
      </c>
      <c r="D80" s="53"/>
      <c r="E80" s="53"/>
      <c r="F80" s="53"/>
      <c r="G80" s="54" t="n">
        <f aca="false">SUMIFS(G69:G78,E69:E78,"Optional")</f>
        <v>72</v>
      </c>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53" t="s">
        <v>160</v>
      </c>
      <c r="D81" s="53"/>
      <c r="E81" s="53"/>
      <c r="F81" s="53"/>
      <c r="G81" s="3"/>
      <c r="H81" s="3"/>
      <c r="I81" s="55" t="n">
        <f aca="false">SUM(I69:I78)</f>
        <v>256</v>
      </c>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21.75" hidden="false" customHeight="true" outlineLevel="0" collapsed="false">
      <c r="A83" s="40" t="n">
        <v>24</v>
      </c>
      <c r="B83" s="41" t="s">
        <v>308</v>
      </c>
      <c r="C83" s="41"/>
      <c r="D83" s="41"/>
      <c r="E83" s="41"/>
      <c r="F83" s="41"/>
      <c r="G83" s="41"/>
      <c r="H83" s="41"/>
      <c r="I83" s="41"/>
      <c r="J83" s="3"/>
      <c r="K83" s="3"/>
      <c r="L83" s="3"/>
      <c r="M83" s="3"/>
      <c r="N83" s="3"/>
      <c r="O83" s="3"/>
      <c r="P83" s="3"/>
      <c r="Q83" s="3"/>
      <c r="R83" s="3"/>
      <c r="S83" s="3"/>
      <c r="T83" s="3"/>
      <c r="U83" s="3"/>
      <c r="V83" s="3"/>
      <c r="W83" s="3"/>
      <c r="X83" s="3"/>
      <c r="Y83" s="3"/>
      <c r="Z83" s="3"/>
    </row>
    <row r="84" customFormat="false" ht="15.75" hidden="false" customHeight="true" outlineLevel="0" collapsed="false">
      <c r="A84" s="42" t="s">
        <v>3</v>
      </c>
      <c r="B84" s="42" t="s">
        <v>116</v>
      </c>
      <c r="C84" s="43" t="s">
        <v>117</v>
      </c>
      <c r="D84" s="43" t="s">
        <v>118</v>
      </c>
      <c r="E84" s="42" t="s">
        <v>119</v>
      </c>
      <c r="F84" s="43" t="s">
        <v>120</v>
      </c>
      <c r="G84" s="42" t="s">
        <v>121</v>
      </c>
      <c r="H84" s="42" t="s">
        <v>122</v>
      </c>
      <c r="I84" s="42" t="s">
        <v>9</v>
      </c>
      <c r="J84" s="3"/>
      <c r="K84" s="3"/>
      <c r="L84" s="3"/>
      <c r="M84" s="3"/>
      <c r="N84" s="3"/>
      <c r="O84" s="3"/>
      <c r="P84" s="3"/>
      <c r="Q84" s="3"/>
      <c r="R84" s="3"/>
      <c r="S84" s="3"/>
      <c r="T84" s="3"/>
      <c r="U84" s="3"/>
      <c r="V84" s="3"/>
      <c r="W84" s="3"/>
      <c r="X84" s="3"/>
      <c r="Y84" s="3"/>
      <c r="Z84" s="3"/>
    </row>
    <row r="85" customFormat="false" ht="15.75" hidden="false" customHeight="true" outlineLevel="0" collapsed="false">
      <c r="A85" s="44" t="n">
        <v>24</v>
      </c>
      <c r="B85" s="44" t="s">
        <v>309</v>
      </c>
      <c r="C85" s="45" t="s">
        <v>310</v>
      </c>
      <c r="D85" s="46" t="s">
        <v>311</v>
      </c>
      <c r="E85" s="47" t="s">
        <v>126</v>
      </c>
      <c r="F85" s="48" t="s">
        <v>127</v>
      </c>
      <c r="G85" s="49" t="n">
        <v>48</v>
      </c>
      <c r="H85" s="44" t="s">
        <v>128</v>
      </c>
      <c r="I85" s="44" t="n">
        <f aca="false">IF(H85="Yes",G85,0)</f>
        <v>48</v>
      </c>
      <c r="J85" s="3"/>
      <c r="K85" s="3"/>
      <c r="L85" s="3"/>
      <c r="M85" s="3"/>
      <c r="N85" s="3"/>
      <c r="O85" s="3"/>
      <c r="P85" s="3"/>
      <c r="Q85" s="3"/>
      <c r="R85" s="3"/>
      <c r="S85" s="3"/>
      <c r="T85" s="3"/>
      <c r="U85" s="3"/>
      <c r="V85" s="3"/>
      <c r="W85" s="3"/>
      <c r="X85" s="3"/>
      <c r="Y85" s="3"/>
      <c r="Z85" s="3"/>
    </row>
    <row r="86" customFormat="false" ht="15.75" hidden="false" customHeight="true" outlineLevel="0" collapsed="false">
      <c r="A86" s="44" t="n">
        <v>24</v>
      </c>
      <c r="B86" s="44" t="s">
        <v>312</v>
      </c>
      <c r="C86" s="45" t="s">
        <v>313</v>
      </c>
      <c r="D86" s="46" t="s">
        <v>314</v>
      </c>
      <c r="E86" s="47" t="s">
        <v>126</v>
      </c>
      <c r="F86" s="48" t="s">
        <v>127</v>
      </c>
      <c r="G86" s="49" t="n">
        <v>16</v>
      </c>
      <c r="H86" s="44" t="s">
        <v>128</v>
      </c>
      <c r="I86" s="44" t="n">
        <f aca="false">IF(H86="Yes",G86,0)</f>
        <v>16</v>
      </c>
      <c r="J86" s="3"/>
      <c r="K86" s="3"/>
      <c r="L86" s="3"/>
      <c r="M86" s="3"/>
      <c r="N86" s="3"/>
      <c r="O86" s="3"/>
      <c r="P86" s="3"/>
      <c r="Q86" s="3"/>
      <c r="R86" s="3"/>
      <c r="S86" s="3"/>
      <c r="T86" s="3"/>
      <c r="U86" s="3"/>
      <c r="V86" s="3"/>
      <c r="W86" s="3"/>
      <c r="X86" s="3"/>
      <c r="Y86" s="3"/>
      <c r="Z86" s="3"/>
    </row>
    <row r="87" customFormat="false" ht="15.75" hidden="false" customHeight="true" outlineLevel="0" collapsed="false">
      <c r="A87" s="44" t="n">
        <v>24</v>
      </c>
      <c r="B87" s="44" t="s">
        <v>315</v>
      </c>
      <c r="C87" s="45" t="s">
        <v>316</v>
      </c>
      <c r="D87" s="46" t="s">
        <v>317</v>
      </c>
      <c r="E87" s="47" t="s">
        <v>126</v>
      </c>
      <c r="F87" s="48" t="s">
        <v>127</v>
      </c>
      <c r="G87" s="49" t="n">
        <v>32</v>
      </c>
      <c r="H87" s="44" t="s">
        <v>128</v>
      </c>
      <c r="I87" s="44" t="n">
        <f aca="false">IF(H87="Yes",G87,0)</f>
        <v>32</v>
      </c>
      <c r="J87" s="3"/>
      <c r="K87" s="3"/>
      <c r="L87" s="3"/>
      <c r="M87" s="3"/>
      <c r="N87" s="3"/>
      <c r="O87" s="3"/>
      <c r="P87" s="3"/>
      <c r="Q87" s="3"/>
      <c r="R87" s="3"/>
      <c r="S87" s="3"/>
      <c r="T87" s="3"/>
      <c r="U87" s="3"/>
      <c r="V87" s="3"/>
      <c r="W87" s="3"/>
      <c r="X87" s="3"/>
      <c r="Y87" s="3"/>
      <c r="Z87" s="3"/>
    </row>
    <row r="88" customFormat="false" ht="15.75" hidden="false" customHeight="true" outlineLevel="0" collapsed="false">
      <c r="A88" s="44" t="n">
        <v>24</v>
      </c>
      <c r="B88" s="44" t="s">
        <v>318</v>
      </c>
      <c r="C88" s="45" t="s">
        <v>319</v>
      </c>
      <c r="D88" s="46" t="s">
        <v>320</v>
      </c>
      <c r="E88" s="47" t="s">
        <v>126</v>
      </c>
      <c r="F88" s="48" t="s">
        <v>127</v>
      </c>
      <c r="G88" s="49" t="n">
        <v>40</v>
      </c>
      <c r="H88" s="44" t="s">
        <v>128</v>
      </c>
      <c r="I88" s="44" t="n">
        <f aca="false">IF(H88="Yes",G88,0)</f>
        <v>40</v>
      </c>
      <c r="J88" s="3"/>
      <c r="K88" s="3"/>
      <c r="L88" s="3"/>
      <c r="M88" s="3"/>
      <c r="N88" s="3"/>
      <c r="O88" s="3"/>
      <c r="P88" s="3"/>
      <c r="Q88" s="3"/>
      <c r="R88" s="3"/>
      <c r="S88" s="3"/>
      <c r="T88" s="3"/>
      <c r="U88" s="3"/>
      <c r="V88" s="3"/>
      <c r="W88" s="3"/>
      <c r="X88" s="3"/>
      <c r="Y88" s="3"/>
      <c r="Z88" s="3"/>
    </row>
    <row r="89" customFormat="false" ht="15.75" hidden="false" customHeight="true" outlineLevel="0" collapsed="false">
      <c r="A89" s="6" t="n">
        <v>24</v>
      </c>
      <c r="B89" s="6" t="s">
        <v>321</v>
      </c>
      <c r="C89" s="50" t="s">
        <v>322</v>
      </c>
      <c r="D89" s="7" t="s">
        <v>323</v>
      </c>
      <c r="E89" s="6" t="s">
        <v>144</v>
      </c>
      <c r="F89" s="7" t="s">
        <v>324</v>
      </c>
      <c r="G89" s="51" t="n">
        <v>12</v>
      </c>
      <c r="H89" s="52" t="s">
        <v>128</v>
      </c>
      <c r="I89" s="6" t="n">
        <f aca="false">IF(H89="Yes",G89,0)</f>
        <v>12</v>
      </c>
      <c r="J89" s="3"/>
      <c r="K89" s="3"/>
      <c r="L89" s="3"/>
      <c r="M89" s="3"/>
      <c r="N89" s="3"/>
      <c r="O89" s="3"/>
      <c r="P89" s="3"/>
      <c r="Q89" s="3"/>
      <c r="R89" s="3"/>
      <c r="S89" s="3"/>
      <c r="T89" s="3"/>
      <c r="U89" s="3"/>
      <c r="V89" s="3"/>
      <c r="W89" s="3"/>
      <c r="X89" s="3"/>
      <c r="Y89" s="3"/>
      <c r="Z89" s="3"/>
    </row>
    <row r="90" customFormat="false" ht="15.75" hidden="false" customHeight="true" outlineLevel="0" collapsed="false">
      <c r="A90" s="6" t="n">
        <v>24</v>
      </c>
      <c r="B90" s="6" t="s">
        <v>325</v>
      </c>
      <c r="C90" s="50" t="s">
        <v>326</v>
      </c>
      <c r="D90" s="7" t="s">
        <v>327</v>
      </c>
      <c r="E90" s="6" t="s">
        <v>144</v>
      </c>
      <c r="F90" s="7" t="s">
        <v>328</v>
      </c>
      <c r="G90" s="51" t="n">
        <v>16</v>
      </c>
      <c r="H90" s="52" t="s">
        <v>128</v>
      </c>
      <c r="I90" s="6" t="n">
        <f aca="false">IF(H90="Yes",G90,0)</f>
        <v>16</v>
      </c>
      <c r="J90" s="3"/>
      <c r="K90" s="3"/>
      <c r="L90" s="3"/>
      <c r="M90" s="3"/>
      <c r="N90" s="3"/>
      <c r="O90" s="3"/>
      <c r="P90" s="3"/>
      <c r="Q90" s="3"/>
      <c r="R90" s="3"/>
      <c r="S90" s="3"/>
      <c r="T90" s="3"/>
      <c r="U90" s="3"/>
      <c r="V90" s="3"/>
      <c r="W90" s="3"/>
      <c r="X90" s="3"/>
      <c r="Y90" s="3"/>
      <c r="Z90" s="3"/>
    </row>
    <row r="91" customFormat="false" ht="15.75" hidden="false" customHeight="true" outlineLevel="0" collapsed="false">
      <c r="A91" s="6" t="n">
        <v>24</v>
      </c>
      <c r="B91" s="6" t="s">
        <v>329</v>
      </c>
      <c r="C91" s="50" t="s">
        <v>330</v>
      </c>
      <c r="D91" s="7" t="s">
        <v>331</v>
      </c>
      <c r="E91" s="6" t="s">
        <v>144</v>
      </c>
      <c r="F91" s="7" t="s">
        <v>332</v>
      </c>
      <c r="G91" s="51" t="n">
        <v>20</v>
      </c>
      <c r="H91" s="52" t="s">
        <v>128</v>
      </c>
      <c r="I91" s="6" t="n">
        <f aca="false">IF(H91="Yes",G91,0)</f>
        <v>20</v>
      </c>
      <c r="J91" s="3"/>
      <c r="K91" s="3"/>
      <c r="L91" s="3"/>
      <c r="M91" s="3"/>
      <c r="N91" s="3"/>
      <c r="O91" s="3"/>
      <c r="P91" s="3"/>
      <c r="Q91" s="3"/>
      <c r="R91" s="3"/>
      <c r="S91" s="3"/>
      <c r="T91" s="3"/>
      <c r="U91" s="3"/>
      <c r="V91" s="3"/>
      <c r="W91" s="3"/>
      <c r="X91" s="3"/>
      <c r="Y91" s="3"/>
      <c r="Z91" s="3"/>
    </row>
    <row r="92" customFormat="false" ht="15.75" hidden="false" customHeight="true" outlineLevel="0" collapsed="false">
      <c r="A92" s="6" t="n">
        <v>24</v>
      </c>
      <c r="B92" s="6" t="s">
        <v>333</v>
      </c>
      <c r="C92" s="50" t="s">
        <v>334</v>
      </c>
      <c r="D92" s="7" t="s">
        <v>335</v>
      </c>
      <c r="E92" s="6" t="s">
        <v>144</v>
      </c>
      <c r="F92" s="7" t="s">
        <v>336</v>
      </c>
      <c r="G92" s="51" t="n">
        <v>16</v>
      </c>
      <c r="H92" s="52" t="s">
        <v>128</v>
      </c>
      <c r="I92" s="6" t="n">
        <f aca="false">IF(H92="Yes",G92,0)</f>
        <v>16</v>
      </c>
      <c r="J92" s="3"/>
      <c r="K92" s="3"/>
      <c r="L92" s="3"/>
      <c r="M92" s="3"/>
      <c r="N92" s="3"/>
      <c r="O92" s="3"/>
      <c r="P92" s="3"/>
      <c r="Q92" s="3"/>
      <c r="R92" s="3"/>
      <c r="S92" s="3"/>
      <c r="T92" s="3"/>
      <c r="U92" s="3"/>
      <c r="V92" s="3"/>
      <c r="W92" s="3"/>
      <c r="X92" s="3"/>
      <c r="Y92" s="3"/>
      <c r="Z92" s="3"/>
    </row>
    <row r="93" customFormat="false" ht="15.75" hidden="false" customHeight="true" outlineLevel="0" collapsed="false">
      <c r="A93" s="6" t="n">
        <v>24</v>
      </c>
      <c r="B93" s="6" t="s">
        <v>337</v>
      </c>
      <c r="C93" s="50" t="s">
        <v>338</v>
      </c>
      <c r="D93" s="7" t="s">
        <v>339</v>
      </c>
      <c r="E93" s="6" t="s">
        <v>144</v>
      </c>
      <c r="F93" s="7" t="s">
        <v>340</v>
      </c>
      <c r="G93" s="51" t="n">
        <v>8</v>
      </c>
      <c r="H93" s="52" t="s">
        <v>128</v>
      </c>
      <c r="I93" s="6" t="n">
        <f aca="false">IF(H93="Yes",G93,0)</f>
        <v>8</v>
      </c>
      <c r="J93" s="3"/>
      <c r="K93" s="3"/>
      <c r="L93" s="3"/>
      <c r="M93" s="3"/>
      <c r="N93" s="3"/>
      <c r="O93" s="3"/>
      <c r="P93" s="3"/>
      <c r="Q93" s="3"/>
      <c r="R93" s="3"/>
      <c r="S93" s="3"/>
      <c r="T93" s="3"/>
      <c r="U93" s="3"/>
      <c r="V93" s="3"/>
      <c r="W93" s="3"/>
      <c r="X93" s="3"/>
      <c r="Y93" s="3"/>
      <c r="Z93" s="3"/>
    </row>
    <row r="94" customFormat="false" ht="15.75" hidden="false" customHeight="true" outlineLevel="0" collapsed="false">
      <c r="A94" s="6" t="n">
        <v>24</v>
      </c>
      <c r="B94" s="6" t="s">
        <v>341</v>
      </c>
      <c r="C94" s="50" t="s">
        <v>342</v>
      </c>
      <c r="D94" s="7" t="s">
        <v>343</v>
      </c>
      <c r="E94" s="6" t="s">
        <v>144</v>
      </c>
      <c r="F94" s="7" t="s">
        <v>344</v>
      </c>
      <c r="G94" s="51" t="n">
        <v>12</v>
      </c>
      <c r="H94" s="52" t="s">
        <v>128</v>
      </c>
      <c r="I94" s="6" t="n">
        <f aca="false">IF(H94="Yes",G94,0)</f>
        <v>12</v>
      </c>
      <c r="J94" s="3"/>
      <c r="K94" s="3"/>
      <c r="L94" s="3"/>
      <c r="M94" s="3"/>
      <c r="N94" s="3"/>
      <c r="O94" s="3"/>
      <c r="P94" s="3"/>
      <c r="Q94" s="3"/>
      <c r="R94" s="3"/>
      <c r="S94" s="3"/>
      <c r="T94" s="3"/>
      <c r="U94" s="3"/>
      <c r="V94" s="3"/>
      <c r="W94" s="3"/>
      <c r="X94" s="3"/>
      <c r="Y94" s="3"/>
      <c r="Z94" s="3"/>
    </row>
    <row r="95" customFormat="false" ht="15.75" hidden="false" customHeight="true" outlineLevel="0" collapsed="false">
      <c r="A95" s="6" t="n">
        <v>24</v>
      </c>
      <c r="B95" s="6" t="s">
        <v>345</v>
      </c>
      <c r="C95" s="50" t="s">
        <v>346</v>
      </c>
      <c r="D95" s="7" t="s">
        <v>347</v>
      </c>
      <c r="E95" s="6" t="s">
        <v>144</v>
      </c>
      <c r="F95" s="7" t="s">
        <v>348</v>
      </c>
      <c r="G95" s="51" t="n">
        <v>12</v>
      </c>
      <c r="H95" s="52" t="s">
        <v>128</v>
      </c>
      <c r="I95" s="6" t="n">
        <f aca="false">IF(H95="Yes",G95,0)</f>
        <v>12</v>
      </c>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53" t="s">
        <v>158</v>
      </c>
      <c r="D96" s="53"/>
      <c r="E96" s="53"/>
      <c r="F96" s="53"/>
      <c r="G96" s="54" t="n">
        <f aca="false">SUMIFS(G85:G95,E85:E95,"Core")</f>
        <v>136</v>
      </c>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53" t="s">
        <v>159</v>
      </c>
      <c r="D97" s="53"/>
      <c r="E97" s="53"/>
      <c r="F97" s="53"/>
      <c r="G97" s="54" t="n">
        <f aca="false">SUMIFS(G85:G95,E85:E95,"Optional")</f>
        <v>96</v>
      </c>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53" t="s">
        <v>160</v>
      </c>
      <c r="D98" s="53"/>
      <c r="E98" s="53"/>
      <c r="F98" s="53"/>
      <c r="G98" s="3"/>
      <c r="H98" s="3"/>
      <c r="I98" s="55" t="n">
        <f aca="false">SUM(I85:I95)</f>
        <v>232</v>
      </c>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21.75" hidden="false" customHeight="true" outlineLevel="0" collapsed="false">
      <c r="A100" s="40" t="n">
        <v>25</v>
      </c>
      <c r="B100" s="41" t="s">
        <v>349</v>
      </c>
      <c r="C100" s="41"/>
      <c r="D100" s="41"/>
      <c r="E100" s="41"/>
      <c r="F100" s="41"/>
      <c r="G100" s="41"/>
      <c r="H100" s="41"/>
      <c r="I100" s="41"/>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42" t="s">
        <v>3</v>
      </c>
      <c r="B101" s="42" t="s">
        <v>116</v>
      </c>
      <c r="C101" s="43" t="s">
        <v>117</v>
      </c>
      <c r="D101" s="43" t="s">
        <v>118</v>
      </c>
      <c r="E101" s="42" t="s">
        <v>119</v>
      </c>
      <c r="F101" s="43" t="s">
        <v>120</v>
      </c>
      <c r="G101" s="42" t="s">
        <v>121</v>
      </c>
      <c r="H101" s="42" t="s">
        <v>122</v>
      </c>
      <c r="I101" s="42" t="s">
        <v>9</v>
      </c>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44" t="n">
        <v>25</v>
      </c>
      <c r="B102" s="44" t="s">
        <v>350</v>
      </c>
      <c r="C102" s="45" t="s">
        <v>351</v>
      </c>
      <c r="D102" s="46" t="s">
        <v>352</v>
      </c>
      <c r="E102" s="47" t="s">
        <v>126</v>
      </c>
      <c r="F102" s="48" t="s">
        <v>127</v>
      </c>
      <c r="G102" s="49" t="n">
        <v>32</v>
      </c>
      <c r="H102" s="44" t="s">
        <v>128</v>
      </c>
      <c r="I102" s="44" t="n">
        <f aca="false">IF(H102="Yes",G102,0)</f>
        <v>32</v>
      </c>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44" t="n">
        <v>25</v>
      </c>
      <c r="B103" s="44" t="s">
        <v>353</v>
      </c>
      <c r="C103" s="45" t="s">
        <v>354</v>
      </c>
      <c r="D103" s="46" t="s">
        <v>355</v>
      </c>
      <c r="E103" s="47" t="s">
        <v>126</v>
      </c>
      <c r="F103" s="48" t="s">
        <v>127</v>
      </c>
      <c r="G103" s="49" t="n">
        <v>32</v>
      </c>
      <c r="H103" s="44" t="s">
        <v>128</v>
      </c>
      <c r="I103" s="44" t="n">
        <f aca="false">IF(H103="Yes",G103,0)</f>
        <v>32</v>
      </c>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44" t="n">
        <v>25</v>
      </c>
      <c r="B104" s="44" t="s">
        <v>356</v>
      </c>
      <c r="C104" s="45" t="s">
        <v>357</v>
      </c>
      <c r="D104" s="46" t="s">
        <v>358</v>
      </c>
      <c r="E104" s="47" t="s">
        <v>126</v>
      </c>
      <c r="F104" s="48" t="s">
        <v>127</v>
      </c>
      <c r="G104" s="49" t="n">
        <v>24</v>
      </c>
      <c r="H104" s="44" t="s">
        <v>128</v>
      </c>
      <c r="I104" s="44" t="n">
        <f aca="false">IF(H104="Yes",G104,0)</f>
        <v>24</v>
      </c>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44" t="n">
        <v>25</v>
      </c>
      <c r="B105" s="44" t="s">
        <v>359</v>
      </c>
      <c r="C105" s="45" t="s">
        <v>360</v>
      </c>
      <c r="D105" s="46" t="s">
        <v>361</v>
      </c>
      <c r="E105" s="47" t="s">
        <v>126</v>
      </c>
      <c r="F105" s="48" t="s">
        <v>127</v>
      </c>
      <c r="G105" s="49" t="n">
        <v>16</v>
      </c>
      <c r="H105" s="44" t="s">
        <v>128</v>
      </c>
      <c r="I105" s="44" t="n">
        <f aca="false">IF(H105="Yes",G105,0)</f>
        <v>16</v>
      </c>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44" t="n">
        <v>25</v>
      </c>
      <c r="B106" s="44" t="s">
        <v>362</v>
      </c>
      <c r="C106" s="45" t="s">
        <v>363</v>
      </c>
      <c r="D106" s="46" t="s">
        <v>364</v>
      </c>
      <c r="E106" s="47" t="s">
        <v>126</v>
      </c>
      <c r="F106" s="48" t="s">
        <v>127</v>
      </c>
      <c r="G106" s="49" t="n">
        <v>24</v>
      </c>
      <c r="H106" s="44" t="s">
        <v>128</v>
      </c>
      <c r="I106" s="44" t="n">
        <f aca="false">IF(H106="Yes",G106,0)</f>
        <v>24</v>
      </c>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6" t="n">
        <v>25</v>
      </c>
      <c r="B107" s="6" t="s">
        <v>365</v>
      </c>
      <c r="C107" s="50" t="s">
        <v>366</v>
      </c>
      <c r="D107" s="7" t="s">
        <v>367</v>
      </c>
      <c r="E107" s="6" t="s">
        <v>144</v>
      </c>
      <c r="F107" s="7" t="s">
        <v>368</v>
      </c>
      <c r="G107" s="51" t="n">
        <v>8</v>
      </c>
      <c r="H107" s="52" t="s">
        <v>128</v>
      </c>
      <c r="I107" s="6" t="n">
        <f aca="false">IF(H107="Yes",G107,0)</f>
        <v>8</v>
      </c>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6" t="n">
        <v>25</v>
      </c>
      <c r="B108" s="6" t="s">
        <v>369</v>
      </c>
      <c r="C108" s="50" t="s">
        <v>370</v>
      </c>
      <c r="D108" s="7" t="s">
        <v>371</v>
      </c>
      <c r="E108" s="6" t="s">
        <v>144</v>
      </c>
      <c r="F108" s="7" t="s">
        <v>372</v>
      </c>
      <c r="G108" s="51" t="n">
        <v>12</v>
      </c>
      <c r="H108" s="52" t="s">
        <v>128</v>
      </c>
      <c r="I108" s="6" t="n">
        <f aca="false">IF(H108="Yes",G108,0)</f>
        <v>12</v>
      </c>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6" t="n">
        <v>25</v>
      </c>
      <c r="B109" s="6" t="s">
        <v>373</v>
      </c>
      <c r="C109" s="50" t="s">
        <v>374</v>
      </c>
      <c r="D109" s="7" t="s">
        <v>375</v>
      </c>
      <c r="E109" s="6" t="s">
        <v>144</v>
      </c>
      <c r="F109" s="7" t="s">
        <v>376</v>
      </c>
      <c r="G109" s="51" t="n">
        <v>16</v>
      </c>
      <c r="H109" s="52" t="s">
        <v>128</v>
      </c>
      <c r="I109" s="6" t="n">
        <f aca="false">IF(H109="Yes",G109,0)</f>
        <v>16</v>
      </c>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6" t="n">
        <v>25</v>
      </c>
      <c r="B110" s="6" t="s">
        <v>377</v>
      </c>
      <c r="C110" s="50" t="s">
        <v>378</v>
      </c>
      <c r="D110" s="7" t="s">
        <v>379</v>
      </c>
      <c r="E110" s="6" t="s">
        <v>144</v>
      </c>
      <c r="F110" s="7" t="s">
        <v>380</v>
      </c>
      <c r="G110" s="51" t="n">
        <v>20</v>
      </c>
      <c r="H110" s="52" t="s">
        <v>128</v>
      </c>
      <c r="I110" s="6" t="n">
        <f aca="false">IF(H110="Yes",G110,0)</f>
        <v>20</v>
      </c>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6" t="n">
        <v>25</v>
      </c>
      <c r="B111" s="6" t="s">
        <v>381</v>
      </c>
      <c r="C111" s="50" t="s">
        <v>382</v>
      </c>
      <c r="D111" s="7" t="s">
        <v>383</v>
      </c>
      <c r="E111" s="6" t="s">
        <v>144</v>
      </c>
      <c r="F111" s="7" t="s">
        <v>384</v>
      </c>
      <c r="G111" s="51" t="n">
        <v>20</v>
      </c>
      <c r="H111" s="52" t="s">
        <v>128</v>
      </c>
      <c r="I111" s="6" t="n">
        <f aca="false">IF(H111="Yes",G111,0)</f>
        <v>20</v>
      </c>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6" t="n">
        <v>25</v>
      </c>
      <c r="B112" s="6" t="s">
        <v>385</v>
      </c>
      <c r="C112" s="50" t="s">
        <v>386</v>
      </c>
      <c r="D112" s="7" t="s">
        <v>387</v>
      </c>
      <c r="E112" s="6" t="s">
        <v>144</v>
      </c>
      <c r="F112" s="7" t="s">
        <v>388</v>
      </c>
      <c r="G112" s="51" t="n">
        <v>12</v>
      </c>
      <c r="H112" s="52" t="s">
        <v>128</v>
      </c>
      <c r="I112" s="6" t="n">
        <f aca="false">IF(H112="Yes",G112,0)</f>
        <v>12</v>
      </c>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6" t="n">
        <v>25</v>
      </c>
      <c r="B113" s="6" t="s">
        <v>389</v>
      </c>
      <c r="C113" s="50" t="s">
        <v>390</v>
      </c>
      <c r="D113" s="7" t="s">
        <v>391</v>
      </c>
      <c r="E113" s="6" t="s">
        <v>144</v>
      </c>
      <c r="F113" s="7" t="s">
        <v>392</v>
      </c>
      <c r="G113" s="51" t="n">
        <v>40</v>
      </c>
      <c r="H113" s="52" t="s">
        <v>128</v>
      </c>
      <c r="I113" s="6" t="n">
        <f aca="false">IF(H113="Yes",G113,0)</f>
        <v>40</v>
      </c>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6" t="n">
        <v>25</v>
      </c>
      <c r="B114" s="6" t="s">
        <v>393</v>
      </c>
      <c r="C114" s="50" t="s">
        <v>394</v>
      </c>
      <c r="D114" s="7" t="s">
        <v>395</v>
      </c>
      <c r="E114" s="6" t="s">
        <v>144</v>
      </c>
      <c r="F114" s="7" t="s">
        <v>396</v>
      </c>
      <c r="G114" s="51" t="n">
        <v>12</v>
      </c>
      <c r="H114" s="52" t="s">
        <v>128</v>
      </c>
      <c r="I114" s="6" t="n">
        <f aca="false">IF(H114="Yes",G114,0)</f>
        <v>12</v>
      </c>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6" t="n">
        <v>25</v>
      </c>
      <c r="B115" s="6" t="s">
        <v>397</v>
      </c>
      <c r="C115" s="50" t="s">
        <v>269</v>
      </c>
      <c r="D115" s="7" t="s">
        <v>398</v>
      </c>
      <c r="E115" s="6" t="s">
        <v>144</v>
      </c>
      <c r="F115" s="7" t="s">
        <v>399</v>
      </c>
      <c r="G115" s="51" t="n">
        <v>8</v>
      </c>
      <c r="H115" s="52" t="s">
        <v>128</v>
      </c>
      <c r="I115" s="6" t="n">
        <f aca="false">IF(H115="Yes",G115,0)</f>
        <v>8</v>
      </c>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53" t="s">
        <v>158</v>
      </c>
      <c r="D116" s="53"/>
      <c r="E116" s="53"/>
      <c r="F116" s="53"/>
      <c r="G116" s="54" t="n">
        <f aca="false">SUMIFS(G102:G115,E102:E115,"Core")</f>
        <v>128</v>
      </c>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53" t="s">
        <v>159</v>
      </c>
      <c r="D117" s="53"/>
      <c r="E117" s="53"/>
      <c r="F117" s="53"/>
      <c r="G117" s="54" t="n">
        <f aca="false">SUMIFS(G102:G115,E102:E115,"Optional")</f>
        <v>148</v>
      </c>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53" t="s">
        <v>160</v>
      </c>
      <c r="D118" s="53"/>
      <c r="E118" s="53"/>
      <c r="F118" s="53"/>
      <c r="G118" s="3"/>
      <c r="H118" s="3"/>
      <c r="I118" s="55" t="n">
        <f aca="false">SUM(I102:I115)</f>
        <v>276</v>
      </c>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21.75" hidden="false" customHeight="true" outlineLevel="0" collapsed="false">
      <c r="A120" s="40" t="n">
        <v>26</v>
      </c>
      <c r="B120" s="41" t="s">
        <v>400</v>
      </c>
      <c r="C120" s="41"/>
      <c r="D120" s="41"/>
      <c r="E120" s="41"/>
      <c r="F120" s="41"/>
      <c r="G120" s="41"/>
      <c r="H120" s="41"/>
      <c r="I120" s="41"/>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42" t="s">
        <v>3</v>
      </c>
      <c r="B121" s="42" t="s">
        <v>116</v>
      </c>
      <c r="C121" s="43" t="s">
        <v>117</v>
      </c>
      <c r="D121" s="43" t="s">
        <v>118</v>
      </c>
      <c r="E121" s="42" t="s">
        <v>119</v>
      </c>
      <c r="F121" s="43" t="s">
        <v>120</v>
      </c>
      <c r="G121" s="42" t="s">
        <v>121</v>
      </c>
      <c r="H121" s="42" t="s">
        <v>122</v>
      </c>
      <c r="I121" s="42" t="s">
        <v>9</v>
      </c>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44" t="n">
        <v>26</v>
      </c>
      <c r="B122" s="44" t="s">
        <v>401</v>
      </c>
      <c r="C122" s="45" t="s">
        <v>402</v>
      </c>
      <c r="D122" s="46" t="s">
        <v>403</v>
      </c>
      <c r="E122" s="47" t="s">
        <v>126</v>
      </c>
      <c r="F122" s="48" t="s">
        <v>127</v>
      </c>
      <c r="G122" s="49" t="n">
        <v>16</v>
      </c>
      <c r="H122" s="44" t="s">
        <v>128</v>
      </c>
      <c r="I122" s="44" t="n">
        <f aca="false">IF(H122="Yes",G122,0)</f>
        <v>16</v>
      </c>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44" t="n">
        <v>26</v>
      </c>
      <c r="B123" s="44" t="s">
        <v>404</v>
      </c>
      <c r="C123" s="45" t="s">
        <v>405</v>
      </c>
      <c r="D123" s="46" t="s">
        <v>406</v>
      </c>
      <c r="E123" s="47" t="s">
        <v>126</v>
      </c>
      <c r="F123" s="48" t="s">
        <v>127</v>
      </c>
      <c r="G123" s="49" t="n">
        <v>24</v>
      </c>
      <c r="H123" s="44" t="s">
        <v>128</v>
      </c>
      <c r="I123" s="44" t="n">
        <f aca="false">IF(H123="Yes",G123,0)</f>
        <v>24</v>
      </c>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44" t="n">
        <v>26</v>
      </c>
      <c r="B124" s="44" t="s">
        <v>407</v>
      </c>
      <c r="C124" s="45" t="s">
        <v>408</v>
      </c>
      <c r="D124" s="46" t="s">
        <v>409</v>
      </c>
      <c r="E124" s="47" t="s">
        <v>126</v>
      </c>
      <c r="F124" s="48" t="s">
        <v>127</v>
      </c>
      <c r="G124" s="49" t="n">
        <v>12</v>
      </c>
      <c r="H124" s="44" t="s">
        <v>128</v>
      </c>
      <c r="I124" s="44" t="n">
        <f aca="false">IF(H124="Yes",G124,0)</f>
        <v>12</v>
      </c>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6" t="n">
        <v>26</v>
      </c>
      <c r="B125" s="6" t="s">
        <v>410</v>
      </c>
      <c r="C125" s="50" t="s">
        <v>411</v>
      </c>
      <c r="D125" s="7" t="s">
        <v>412</v>
      </c>
      <c r="E125" s="6" t="s">
        <v>144</v>
      </c>
      <c r="F125" s="7" t="s">
        <v>413</v>
      </c>
      <c r="G125" s="51" t="n">
        <v>12</v>
      </c>
      <c r="H125" s="52" t="s">
        <v>128</v>
      </c>
      <c r="I125" s="6" t="n">
        <f aca="false">IF(H125="Yes",G125,0)</f>
        <v>12</v>
      </c>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6" t="n">
        <v>26</v>
      </c>
      <c r="B126" s="6" t="s">
        <v>414</v>
      </c>
      <c r="C126" s="50" t="s">
        <v>415</v>
      </c>
      <c r="D126" s="7" t="s">
        <v>416</v>
      </c>
      <c r="E126" s="6" t="s">
        <v>144</v>
      </c>
      <c r="F126" s="7" t="s">
        <v>417</v>
      </c>
      <c r="G126" s="51" t="n">
        <v>16</v>
      </c>
      <c r="H126" s="52" t="s">
        <v>128</v>
      </c>
      <c r="I126" s="6" t="n">
        <f aca="false">IF(H126="Yes",G126,0)</f>
        <v>16</v>
      </c>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6" t="n">
        <v>26</v>
      </c>
      <c r="B127" s="6" t="s">
        <v>418</v>
      </c>
      <c r="C127" s="50" t="s">
        <v>419</v>
      </c>
      <c r="D127" s="7" t="s">
        <v>420</v>
      </c>
      <c r="E127" s="6" t="s">
        <v>144</v>
      </c>
      <c r="F127" s="7" t="s">
        <v>421</v>
      </c>
      <c r="G127" s="51" t="n">
        <v>8</v>
      </c>
      <c r="H127" s="52" t="s">
        <v>128</v>
      </c>
      <c r="I127" s="6" t="n">
        <f aca="false">IF(H127="Yes",G127,0)</f>
        <v>8</v>
      </c>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6" t="n">
        <v>26</v>
      </c>
      <c r="B128" s="6" t="s">
        <v>422</v>
      </c>
      <c r="C128" s="50" t="s">
        <v>423</v>
      </c>
      <c r="D128" s="7" t="s">
        <v>424</v>
      </c>
      <c r="E128" s="6" t="s">
        <v>144</v>
      </c>
      <c r="F128" s="7" t="s">
        <v>425</v>
      </c>
      <c r="G128" s="51" t="n">
        <v>16</v>
      </c>
      <c r="H128" s="52" t="s">
        <v>128</v>
      </c>
      <c r="I128" s="6" t="n">
        <f aca="false">IF(H128="Yes",G128,0)</f>
        <v>16</v>
      </c>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6" t="n">
        <v>26</v>
      </c>
      <c r="B129" s="6" t="s">
        <v>426</v>
      </c>
      <c r="C129" s="50" t="s">
        <v>427</v>
      </c>
      <c r="D129" s="7" t="s">
        <v>428</v>
      </c>
      <c r="E129" s="6" t="s">
        <v>144</v>
      </c>
      <c r="F129" s="7" t="s">
        <v>429</v>
      </c>
      <c r="G129" s="51" t="n">
        <v>8</v>
      </c>
      <c r="H129" s="52" t="s">
        <v>128</v>
      </c>
      <c r="I129" s="6" t="n">
        <f aca="false">IF(H129="Yes",G129,0)</f>
        <v>8</v>
      </c>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6" t="n">
        <v>26</v>
      </c>
      <c r="B130" s="6" t="s">
        <v>430</v>
      </c>
      <c r="C130" s="50" t="s">
        <v>431</v>
      </c>
      <c r="D130" s="7" t="s">
        <v>432</v>
      </c>
      <c r="E130" s="6" t="s">
        <v>144</v>
      </c>
      <c r="F130" s="7" t="s">
        <v>433</v>
      </c>
      <c r="G130" s="51" t="n">
        <v>8</v>
      </c>
      <c r="H130" s="52" t="s">
        <v>128</v>
      </c>
      <c r="I130" s="6" t="n">
        <f aca="false">IF(H130="Yes",G130,0)</f>
        <v>8</v>
      </c>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6" t="n">
        <v>26</v>
      </c>
      <c r="B131" s="6" t="s">
        <v>434</v>
      </c>
      <c r="C131" s="50" t="s">
        <v>435</v>
      </c>
      <c r="D131" s="7" t="s">
        <v>436</v>
      </c>
      <c r="E131" s="6" t="s">
        <v>144</v>
      </c>
      <c r="F131" s="7" t="s">
        <v>437</v>
      </c>
      <c r="G131" s="51" t="n">
        <v>8</v>
      </c>
      <c r="H131" s="52" t="s">
        <v>128</v>
      </c>
      <c r="I131" s="6" t="n">
        <f aca="false">IF(H131="Yes",G131,0)</f>
        <v>8</v>
      </c>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53" t="s">
        <v>158</v>
      </c>
      <c r="D132" s="53"/>
      <c r="E132" s="53"/>
      <c r="F132" s="53"/>
      <c r="G132" s="54" t="n">
        <f aca="false">SUMIFS(G122:G131,E122:E131,"Core")</f>
        <v>52</v>
      </c>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53" t="s">
        <v>159</v>
      </c>
      <c r="D133" s="53"/>
      <c r="E133" s="53"/>
      <c r="F133" s="53"/>
      <c r="G133" s="54" t="n">
        <f aca="false">SUMIFS(G122:G131,E122:E131,"Optional")</f>
        <v>76</v>
      </c>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53" t="s">
        <v>160</v>
      </c>
      <c r="D134" s="53"/>
      <c r="E134" s="53"/>
      <c r="F134" s="53"/>
      <c r="G134" s="3"/>
      <c r="H134" s="3"/>
      <c r="I134" s="55" t="n">
        <f aca="false">SUM(I122:I131)</f>
        <v>128</v>
      </c>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21.75" hidden="false" customHeight="true" outlineLevel="0" collapsed="false">
      <c r="A136" s="40" t="n">
        <v>27</v>
      </c>
      <c r="B136" s="41" t="s">
        <v>438</v>
      </c>
      <c r="C136" s="41"/>
      <c r="D136" s="41"/>
      <c r="E136" s="41"/>
      <c r="F136" s="41"/>
      <c r="G136" s="41"/>
      <c r="H136" s="41"/>
      <c r="I136" s="41"/>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42" t="s">
        <v>3</v>
      </c>
      <c r="B137" s="42" t="s">
        <v>116</v>
      </c>
      <c r="C137" s="43" t="s">
        <v>117</v>
      </c>
      <c r="D137" s="43" t="s">
        <v>118</v>
      </c>
      <c r="E137" s="42" t="s">
        <v>119</v>
      </c>
      <c r="F137" s="43" t="s">
        <v>120</v>
      </c>
      <c r="G137" s="42" t="s">
        <v>121</v>
      </c>
      <c r="H137" s="42" t="s">
        <v>122</v>
      </c>
      <c r="I137" s="42" t="s">
        <v>9</v>
      </c>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44" t="n">
        <v>27</v>
      </c>
      <c r="B138" s="44" t="s">
        <v>439</v>
      </c>
      <c r="C138" s="45" t="s">
        <v>440</v>
      </c>
      <c r="D138" s="46" t="s">
        <v>441</v>
      </c>
      <c r="E138" s="47" t="s">
        <v>126</v>
      </c>
      <c r="F138" s="48" t="s">
        <v>127</v>
      </c>
      <c r="G138" s="49" t="n">
        <v>24</v>
      </c>
      <c r="H138" s="44" t="s">
        <v>128</v>
      </c>
      <c r="I138" s="44" t="n">
        <f aca="false">IF(H138="Yes",G138,0)</f>
        <v>24</v>
      </c>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44" t="n">
        <v>27</v>
      </c>
      <c r="B139" s="44" t="s">
        <v>442</v>
      </c>
      <c r="C139" s="45" t="s">
        <v>443</v>
      </c>
      <c r="D139" s="46" t="s">
        <v>444</v>
      </c>
      <c r="E139" s="47" t="s">
        <v>126</v>
      </c>
      <c r="F139" s="48" t="s">
        <v>127</v>
      </c>
      <c r="G139" s="49" t="n">
        <v>16</v>
      </c>
      <c r="H139" s="44" t="s">
        <v>128</v>
      </c>
      <c r="I139" s="44" t="n">
        <f aca="false">IF(H139="Yes",G139,0)</f>
        <v>16</v>
      </c>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44" t="n">
        <v>27</v>
      </c>
      <c r="B140" s="44" t="s">
        <v>445</v>
      </c>
      <c r="C140" s="45" t="s">
        <v>446</v>
      </c>
      <c r="D140" s="46" t="s">
        <v>447</v>
      </c>
      <c r="E140" s="47" t="s">
        <v>126</v>
      </c>
      <c r="F140" s="48" t="s">
        <v>127</v>
      </c>
      <c r="G140" s="49" t="n">
        <v>24</v>
      </c>
      <c r="H140" s="44" t="s">
        <v>128</v>
      </c>
      <c r="I140" s="44" t="n">
        <f aca="false">IF(H140="Yes",G140,0)</f>
        <v>24</v>
      </c>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44" t="n">
        <v>27</v>
      </c>
      <c r="B141" s="44" t="s">
        <v>448</v>
      </c>
      <c r="C141" s="45" t="s">
        <v>449</v>
      </c>
      <c r="D141" s="46" t="s">
        <v>450</v>
      </c>
      <c r="E141" s="47" t="s">
        <v>126</v>
      </c>
      <c r="F141" s="48" t="s">
        <v>127</v>
      </c>
      <c r="G141" s="49" t="n">
        <v>24</v>
      </c>
      <c r="H141" s="44" t="s">
        <v>128</v>
      </c>
      <c r="I141" s="44" t="n">
        <f aca="false">IF(H141="Yes",G141,0)</f>
        <v>24</v>
      </c>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44" t="n">
        <v>27</v>
      </c>
      <c r="B142" s="44" t="s">
        <v>451</v>
      </c>
      <c r="C142" s="45" t="s">
        <v>452</v>
      </c>
      <c r="D142" s="46" t="s">
        <v>453</v>
      </c>
      <c r="E142" s="47" t="s">
        <v>126</v>
      </c>
      <c r="F142" s="48" t="s">
        <v>127</v>
      </c>
      <c r="G142" s="49" t="n">
        <v>12</v>
      </c>
      <c r="H142" s="44" t="s">
        <v>128</v>
      </c>
      <c r="I142" s="44" t="n">
        <f aca="false">IF(H142="Yes",G142,0)</f>
        <v>12</v>
      </c>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6" t="n">
        <v>27</v>
      </c>
      <c r="B143" s="6" t="s">
        <v>454</v>
      </c>
      <c r="C143" s="50" t="s">
        <v>455</v>
      </c>
      <c r="D143" s="7" t="s">
        <v>456</v>
      </c>
      <c r="E143" s="6" t="s">
        <v>144</v>
      </c>
      <c r="F143" s="7" t="s">
        <v>457</v>
      </c>
      <c r="G143" s="51" t="n">
        <v>6</v>
      </c>
      <c r="H143" s="52" t="s">
        <v>128</v>
      </c>
      <c r="I143" s="6" t="n">
        <f aca="false">IF(H143="Yes",G143,0)</f>
        <v>6</v>
      </c>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6" t="n">
        <v>27</v>
      </c>
      <c r="B144" s="6" t="s">
        <v>458</v>
      </c>
      <c r="C144" s="50" t="s">
        <v>459</v>
      </c>
      <c r="D144" s="7" t="s">
        <v>460</v>
      </c>
      <c r="E144" s="6" t="s">
        <v>144</v>
      </c>
      <c r="F144" s="7" t="s">
        <v>461</v>
      </c>
      <c r="G144" s="51" t="n">
        <v>12</v>
      </c>
      <c r="H144" s="52" t="s">
        <v>128</v>
      </c>
      <c r="I144" s="6" t="n">
        <f aca="false">IF(H144="Yes",G144,0)</f>
        <v>12</v>
      </c>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6" t="n">
        <v>27</v>
      </c>
      <c r="B145" s="6" t="s">
        <v>462</v>
      </c>
      <c r="C145" s="50" t="s">
        <v>463</v>
      </c>
      <c r="D145" s="7" t="s">
        <v>464</v>
      </c>
      <c r="E145" s="6" t="s">
        <v>144</v>
      </c>
      <c r="F145" s="7" t="s">
        <v>465</v>
      </c>
      <c r="G145" s="51" t="n">
        <v>12</v>
      </c>
      <c r="H145" s="52" t="s">
        <v>128</v>
      </c>
      <c r="I145" s="6" t="n">
        <f aca="false">IF(H145="Yes",G145,0)</f>
        <v>12</v>
      </c>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6" t="n">
        <v>27</v>
      </c>
      <c r="B146" s="6" t="s">
        <v>466</v>
      </c>
      <c r="C146" s="50" t="s">
        <v>467</v>
      </c>
      <c r="D146" s="7" t="s">
        <v>468</v>
      </c>
      <c r="E146" s="6" t="s">
        <v>144</v>
      </c>
      <c r="F146" s="7" t="s">
        <v>469</v>
      </c>
      <c r="G146" s="51" t="n">
        <v>16</v>
      </c>
      <c r="H146" s="52" t="s">
        <v>128</v>
      </c>
      <c r="I146" s="6" t="n">
        <f aca="false">IF(H146="Yes",G146,0)</f>
        <v>16</v>
      </c>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6" t="n">
        <v>27</v>
      </c>
      <c r="B147" s="6" t="s">
        <v>470</v>
      </c>
      <c r="C147" s="50" t="s">
        <v>471</v>
      </c>
      <c r="D147" s="7" t="s">
        <v>472</v>
      </c>
      <c r="E147" s="6" t="s">
        <v>144</v>
      </c>
      <c r="F147" s="7" t="s">
        <v>473</v>
      </c>
      <c r="G147" s="51" t="n">
        <v>12</v>
      </c>
      <c r="H147" s="52" t="s">
        <v>128</v>
      </c>
      <c r="I147" s="6" t="n">
        <f aca="false">IF(H147="Yes",G147,0)</f>
        <v>12</v>
      </c>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53" t="s">
        <v>158</v>
      </c>
      <c r="D148" s="53"/>
      <c r="E148" s="53"/>
      <c r="F148" s="53"/>
      <c r="G148" s="54" t="n">
        <f aca="false">SUMIFS(G138:G147,E138:E147,"Core")</f>
        <v>100</v>
      </c>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53" t="s">
        <v>159</v>
      </c>
      <c r="D149" s="53"/>
      <c r="E149" s="53"/>
      <c r="F149" s="53"/>
      <c r="G149" s="54" t="n">
        <f aca="false">SUMIFS(G138:G147,E138:E147,"Optional")</f>
        <v>58</v>
      </c>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53" t="s">
        <v>160</v>
      </c>
      <c r="D150" s="53"/>
      <c r="E150" s="53"/>
      <c r="F150" s="53"/>
      <c r="G150" s="3"/>
      <c r="H150" s="3"/>
      <c r="I150" s="55" t="n">
        <f aca="false">SUM(I138:I147)</f>
        <v>158</v>
      </c>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21.75" hidden="false" customHeight="true" outlineLevel="0" collapsed="false">
      <c r="A152" s="40" t="n">
        <v>28</v>
      </c>
      <c r="B152" s="41" t="s">
        <v>474</v>
      </c>
      <c r="C152" s="41"/>
      <c r="D152" s="41"/>
      <c r="E152" s="41"/>
      <c r="F152" s="41"/>
      <c r="G152" s="41"/>
      <c r="H152" s="41"/>
      <c r="I152" s="41"/>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42" t="s">
        <v>3</v>
      </c>
      <c r="B153" s="42" t="s">
        <v>116</v>
      </c>
      <c r="C153" s="43" t="s">
        <v>117</v>
      </c>
      <c r="D153" s="43" t="s">
        <v>118</v>
      </c>
      <c r="E153" s="42" t="s">
        <v>119</v>
      </c>
      <c r="F153" s="43" t="s">
        <v>120</v>
      </c>
      <c r="G153" s="42" t="s">
        <v>121</v>
      </c>
      <c r="H153" s="42" t="s">
        <v>122</v>
      </c>
      <c r="I153" s="42" t="s">
        <v>9</v>
      </c>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44" t="n">
        <v>28</v>
      </c>
      <c r="B154" s="44" t="s">
        <v>475</v>
      </c>
      <c r="C154" s="45" t="s">
        <v>476</v>
      </c>
      <c r="D154" s="46" t="s">
        <v>477</v>
      </c>
      <c r="E154" s="47" t="s">
        <v>126</v>
      </c>
      <c r="F154" s="48" t="s">
        <v>127</v>
      </c>
      <c r="G154" s="49" t="n">
        <v>32</v>
      </c>
      <c r="H154" s="44" t="s">
        <v>128</v>
      </c>
      <c r="I154" s="44" t="n">
        <f aca="false">IF(H154="Yes",G154,0)</f>
        <v>32</v>
      </c>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44" t="n">
        <v>28</v>
      </c>
      <c r="B155" s="44" t="s">
        <v>478</v>
      </c>
      <c r="C155" s="45" t="s">
        <v>479</v>
      </c>
      <c r="D155" s="46" t="s">
        <v>480</v>
      </c>
      <c r="E155" s="47" t="s">
        <v>126</v>
      </c>
      <c r="F155" s="48" t="s">
        <v>127</v>
      </c>
      <c r="G155" s="49" t="n">
        <v>24</v>
      </c>
      <c r="H155" s="44" t="s">
        <v>128</v>
      </c>
      <c r="I155" s="44" t="n">
        <f aca="false">IF(H155="Yes",G155,0)</f>
        <v>24</v>
      </c>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44" t="n">
        <v>28</v>
      </c>
      <c r="B156" s="44" t="s">
        <v>481</v>
      </c>
      <c r="C156" s="45" t="s">
        <v>482</v>
      </c>
      <c r="D156" s="46" t="s">
        <v>483</v>
      </c>
      <c r="E156" s="47" t="s">
        <v>126</v>
      </c>
      <c r="F156" s="48" t="s">
        <v>127</v>
      </c>
      <c r="G156" s="49" t="n">
        <v>16</v>
      </c>
      <c r="H156" s="44" t="s">
        <v>128</v>
      </c>
      <c r="I156" s="44" t="n">
        <f aca="false">IF(H156="Yes",G156,0)</f>
        <v>16</v>
      </c>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44" t="n">
        <v>28</v>
      </c>
      <c r="B157" s="44" t="s">
        <v>484</v>
      </c>
      <c r="C157" s="45" t="s">
        <v>485</v>
      </c>
      <c r="D157" s="46" t="s">
        <v>486</v>
      </c>
      <c r="E157" s="47" t="s">
        <v>126</v>
      </c>
      <c r="F157" s="48" t="s">
        <v>127</v>
      </c>
      <c r="G157" s="49" t="n">
        <v>16</v>
      </c>
      <c r="H157" s="44" t="s">
        <v>128</v>
      </c>
      <c r="I157" s="44" t="n">
        <f aca="false">IF(H157="Yes",G157,0)</f>
        <v>16</v>
      </c>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6" t="n">
        <v>28</v>
      </c>
      <c r="B158" s="6" t="s">
        <v>487</v>
      </c>
      <c r="C158" s="50" t="s">
        <v>488</v>
      </c>
      <c r="D158" s="7" t="s">
        <v>489</v>
      </c>
      <c r="E158" s="6" t="s">
        <v>144</v>
      </c>
      <c r="F158" s="7" t="s">
        <v>490</v>
      </c>
      <c r="G158" s="51" t="n">
        <v>16</v>
      </c>
      <c r="H158" s="52" t="s">
        <v>128</v>
      </c>
      <c r="I158" s="6" t="n">
        <f aca="false">IF(H158="Yes",G158,0)</f>
        <v>16</v>
      </c>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6" t="n">
        <v>28</v>
      </c>
      <c r="B159" s="6" t="s">
        <v>491</v>
      </c>
      <c r="C159" s="50" t="s">
        <v>492</v>
      </c>
      <c r="D159" s="7" t="s">
        <v>493</v>
      </c>
      <c r="E159" s="6" t="s">
        <v>144</v>
      </c>
      <c r="F159" s="7" t="s">
        <v>494</v>
      </c>
      <c r="G159" s="51" t="n">
        <v>12</v>
      </c>
      <c r="H159" s="52" t="s">
        <v>128</v>
      </c>
      <c r="I159" s="6" t="n">
        <f aca="false">IF(H159="Yes",G159,0)</f>
        <v>12</v>
      </c>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6" t="n">
        <v>28</v>
      </c>
      <c r="B160" s="6" t="s">
        <v>495</v>
      </c>
      <c r="C160" s="50" t="s">
        <v>496</v>
      </c>
      <c r="D160" s="7" t="s">
        <v>497</v>
      </c>
      <c r="E160" s="6" t="s">
        <v>144</v>
      </c>
      <c r="F160" s="7" t="s">
        <v>498</v>
      </c>
      <c r="G160" s="51" t="n">
        <v>16</v>
      </c>
      <c r="H160" s="52" t="s">
        <v>128</v>
      </c>
      <c r="I160" s="6" t="n">
        <f aca="false">IF(H160="Yes",G160,0)</f>
        <v>16</v>
      </c>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6" t="n">
        <v>28</v>
      </c>
      <c r="B161" s="6" t="s">
        <v>499</v>
      </c>
      <c r="C161" s="50" t="s">
        <v>500</v>
      </c>
      <c r="D161" s="7" t="s">
        <v>501</v>
      </c>
      <c r="E161" s="6" t="s">
        <v>144</v>
      </c>
      <c r="F161" s="7" t="s">
        <v>502</v>
      </c>
      <c r="G161" s="51" t="n">
        <v>8</v>
      </c>
      <c r="H161" s="52" t="s">
        <v>128</v>
      </c>
      <c r="I161" s="6" t="n">
        <f aca="false">IF(H161="Yes",G161,0)</f>
        <v>8</v>
      </c>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6" t="n">
        <v>28</v>
      </c>
      <c r="B162" s="6" t="s">
        <v>503</v>
      </c>
      <c r="C162" s="50" t="s">
        <v>504</v>
      </c>
      <c r="D162" s="7" t="s">
        <v>505</v>
      </c>
      <c r="E162" s="6" t="s">
        <v>144</v>
      </c>
      <c r="F162" s="7" t="s">
        <v>506</v>
      </c>
      <c r="G162" s="51" t="n">
        <v>24</v>
      </c>
      <c r="H162" s="52" t="s">
        <v>128</v>
      </c>
      <c r="I162" s="6" t="n">
        <f aca="false">IF(H162="Yes",G162,0)</f>
        <v>24</v>
      </c>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53" t="s">
        <v>158</v>
      </c>
      <c r="D163" s="53"/>
      <c r="E163" s="53"/>
      <c r="F163" s="53"/>
      <c r="G163" s="54" t="n">
        <f aca="false">SUMIFS(G154:G162,E154:E162,"Core")</f>
        <v>88</v>
      </c>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53" t="s">
        <v>159</v>
      </c>
      <c r="D164" s="53"/>
      <c r="E164" s="53"/>
      <c r="F164" s="53"/>
      <c r="G164" s="54" t="n">
        <f aca="false">SUMIFS(G154:G162,E154:E162,"Optional")</f>
        <v>76</v>
      </c>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53" t="s">
        <v>160</v>
      </c>
      <c r="D165" s="53"/>
      <c r="E165" s="53"/>
      <c r="F165" s="53"/>
      <c r="G165" s="3"/>
      <c r="H165" s="3"/>
      <c r="I165" s="55" t="n">
        <f aca="false">SUM(I154:I162)</f>
        <v>164</v>
      </c>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21.75" hidden="false" customHeight="true" outlineLevel="0" collapsed="false">
      <c r="A167" s="40" t="n">
        <v>29</v>
      </c>
      <c r="B167" s="41" t="s">
        <v>507</v>
      </c>
      <c r="C167" s="41"/>
      <c r="D167" s="41"/>
      <c r="E167" s="41"/>
      <c r="F167" s="41"/>
      <c r="G167" s="41"/>
      <c r="H167" s="41"/>
      <c r="I167" s="41"/>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42" t="s">
        <v>3</v>
      </c>
      <c r="B168" s="42" t="s">
        <v>116</v>
      </c>
      <c r="C168" s="43" t="s">
        <v>117</v>
      </c>
      <c r="D168" s="43" t="s">
        <v>118</v>
      </c>
      <c r="E168" s="42" t="s">
        <v>119</v>
      </c>
      <c r="F168" s="43" t="s">
        <v>120</v>
      </c>
      <c r="G168" s="42" t="s">
        <v>121</v>
      </c>
      <c r="H168" s="42" t="s">
        <v>122</v>
      </c>
      <c r="I168" s="42" t="s">
        <v>9</v>
      </c>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44" t="n">
        <v>29</v>
      </c>
      <c r="B169" s="44" t="s">
        <v>508</v>
      </c>
      <c r="C169" s="45" t="s">
        <v>509</v>
      </c>
      <c r="D169" s="46" t="s">
        <v>510</v>
      </c>
      <c r="E169" s="47" t="s">
        <v>126</v>
      </c>
      <c r="F169" s="48" t="s">
        <v>127</v>
      </c>
      <c r="G169" s="49" t="n">
        <v>12</v>
      </c>
      <c r="H169" s="44" t="s">
        <v>128</v>
      </c>
      <c r="I169" s="44" t="n">
        <f aca="false">IF(H169="Yes",G169,0)</f>
        <v>12</v>
      </c>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44" t="n">
        <v>29</v>
      </c>
      <c r="B170" s="44" t="s">
        <v>511</v>
      </c>
      <c r="C170" s="45" t="s">
        <v>512</v>
      </c>
      <c r="D170" s="46" t="s">
        <v>513</v>
      </c>
      <c r="E170" s="47" t="s">
        <v>126</v>
      </c>
      <c r="F170" s="48" t="s">
        <v>127</v>
      </c>
      <c r="G170" s="49" t="n">
        <v>12</v>
      </c>
      <c r="H170" s="44" t="s">
        <v>128</v>
      </c>
      <c r="I170" s="44" t="n">
        <f aca="false">IF(H170="Yes",G170,0)</f>
        <v>12</v>
      </c>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44" t="n">
        <v>29</v>
      </c>
      <c r="B171" s="44" t="s">
        <v>514</v>
      </c>
      <c r="C171" s="45" t="s">
        <v>515</v>
      </c>
      <c r="D171" s="46" t="s">
        <v>516</v>
      </c>
      <c r="E171" s="47" t="s">
        <v>126</v>
      </c>
      <c r="F171" s="48" t="s">
        <v>127</v>
      </c>
      <c r="G171" s="49" t="n">
        <v>24</v>
      </c>
      <c r="H171" s="44" t="s">
        <v>128</v>
      </c>
      <c r="I171" s="44" t="n">
        <f aca="false">IF(H171="Yes",G171,0)</f>
        <v>24</v>
      </c>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44" t="n">
        <v>29</v>
      </c>
      <c r="B172" s="44" t="s">
        <v>517</v>
      </c>
      <c r="C172" s="45" t="s">
        <v>518</v>
      </c>
      <c r="D172" s="46" t="s">
        <v>519</v>
      </c>
      <c r="E172" s="47" t="s">
        <v>126</v>
      </c>
      <c r="F172" s="48" t="s">
        <v>127</v>
      </c>
      <c r="G172" s="49" t="n">
        <v>16</v>
      </c>
      <c r="H172" s="44" t="s">
        <v>128</v>
      </c>
      <c r="I172" s="44" t="n">
        <f aca="false">IF(H172="Yes",G172,0)</f>
        <v>16</v>
      </c>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44" t="n">
        <v>29</v>
      </c>
      <c r="B173" s="44" t="s">
        <v>520</v>
      </c>
      <c r="C173" s="45" t="s">
        <v>521</v>
      </c>
      <c r="D173" s="46" t="s">
        <v>522</v>
      </c>
      <c r="E173" s="47" t="s">
        <v>126</v>
      </c>
      <c r="F173" s="48" t="s">
        <v>127</v>
      </c>
      <c r="G173" s="49" t="n">
        <v>12</v>
      </c>
      <c r="H173" s="44" t="s">
        <v>128</v>
      </c>
      <c r="I173" s="44" t="n">
        <f aca="false">IF(H173="Yes",G173,0)</f>
        <v>12</v>
      </c>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6" t="n">
        <v>29</v>
      </c>
      <c r="B174" s="6" t="s">
        <v>523</v>
      </c>
      <c r="C174" s="50" t="s">
        <v>524</v>
      </c>
      <c r="D174" s="7" t="s">
        <v>525</v>
      </c>
      <c r="E174" s="6" t="s">
        <v>144</v>
      </c>
      <c r="F174" s="7" t="s">
        <v>526</v>
      </c>
      <c r="G174" s="51" t="n">
        <v>12</v>
      </c>
      <c r="H174" s="52" t="s">
        <v>128</v>
      </c>
      <c r="I174" s="6" t="n">
        <f aca="false">IF(H174="Yes",G174,0)</f>
        <v>12</v>
      </c>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6" t="n">
        <v>29</v>
      </c>
      <c r="B175" s="6" t="s">
        <v>527</v>
      </c>
      <c r="C175" s="50" t="s">
        <v>528</v>
      </c>
      <c r="D175" s="7" t="s">
        <v>529</v>
      </c>
      <c r="E175" s="6" t="s">
        <v>144</v>
      </c>
      <c r="F175" s="7" t="s">
        <v>530</v>
      </c>
      <c r="G175" s="51" t="n">
        <v>8</v>
      </c>
      <c r="H175" s="52" t="s">
        <v>128</v>
      </c>
      <c r="I175" s="6" t="n">
        <f aca="false">IF(H175="Yes",G175,0)</f>
        <v>8</v>
      </c>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6" t="n">
        <v>29</v>
      </c>
      <c r="B176" s="6" t="s">
        <v>531</v>
      </c>
      <c r="C176" s="50" t="s">
        <v>532</v>
      </c>
      <c r="D176" s="7" t="s">
        <v>533</v>
      </c>
      <c r="E176" s="6" t="s">
        <v>144</v>
      </c>
      <c r="F176" s="7" t="s">
        <v>534</v>
      </c>
      <c r="G176" s="51" t="n">
        <v>12</v>
      </c>
      <c r="H176" s="52" t="s">
        <v>128</v>
      </c>
      <c r="I176" s="6" t="n">
        <f aca="false">IF(H176="Yes",G176,0)</f>
        <v>12</v>
      </c>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6" t="n">
        <v>29</v>
      </c>
      <c r="B177" s="6" t="s">
        <v>535</v>
      </c>
      <c r="C177" s="50" t="s">
        <v>536</v>
      </c>
      <c r="D177" s="7" t="s">
        <v>537</v>
      </c>
      <c r="E177" s="6" t="s">
        <v>144</v>
      </c>
      <c r="F177" s="7" t="s">
        <v>538</v>
      </c>
      <c r="G177" s="51" t="n">
        <v>12</v>
      </c>
      <c r="H177" s="52" t="s">
        <v>128</v>
      </c>
      <c r="I177" s="6" t="n">
        <f aca="false">IF(H177="Yes",G177,0)</f>
        <v>12</v>
      </c>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6" t="n">
        <v>29</v>
      </c>
      <c r="B178" s="6" t="s">
        <v>539</v>
      </c>
      <c r="C178" s="50" t="s">
        <v>540</v>
      </c>
      <c r="D178" s="7" t="s">
        <v>541</v>
      </c>
      <c r="E178" s="6" t="s">
        <v>144</v>
      </c>
      <c r="F178" s="7" t="s">
        <v>542</v>
      </c>
      <c r="G178" s="51" t="n">
        <v>8</v>
      </c>
      <c r="H178" s="52" t="s">
        <v>128</v>
      </c>
      <c r="I178" s="6" t="n">
        <f aca="false">IF(H178="Yes",G178,0)</f>
        <v>8</v>
      </c>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6" t="n">
        <v>29</v>
      </c>
      <c r="B179" s="6" t="s">
        <v>543</v>
      </c>
      <c r="C179" s="50" t="s">
        <v>544</v>
      </c>
      <c r="D179" s="7" t="s">
        <v>545</v>
      </c>
      <c r="E179" s="6" t="s">
        <v>144</v>
      </c>
      <c r="F179" s="7" t="s">
        <v>546</v>
      </c>
      <c r="G179" s="51" t="n">
        <v>16</v>
      </c>
      <c r="H179" s="52" t="s">
        <v>128</v>
      </c>
      <c r="I179" s="6" t="n">
        <f aca="false">IF(H179="Yes",G179,0)</f>
        <v>16</v>
      </c>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6" t="n">
        <v>29</v>
      </c>
      <c r="B180" s="6" t="s">
        <v>547</v>
      </c>
      <c r="C180" s="50" t="s">
        <v>548</v>
      </c>
      <c r="D180" s="7" t="s">
        <v>549</v>
      </c>
      <c r="E180" s="6" t="s">
        <v>144</v>
      </c>
      <c r="F180" s="7" t="s">
        <v>550</v>
      </c>
      <c r="G180" s="51" t="n">
        <v>20</v>
      </c>
      <c r="H180" s="52" t="s">
        <v>128</v>
      </c>
      <c r="I180" s="6" t="n">
        <f aca="false">IF(H180="Yes",G180,0)</f>
        <v>20</v>
      </c>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53" t="s">
        <v>158</v>
      </c>
      <c r="D181" s="53"/>
      <c r="E181" s="53"/>
      <c r="F181" s="53"/>
      <c r="G181" s="54" t="n">
        <f aca="false">SUMIFS(G169:G180,E169:E180,"Core")</f>
        <v>76</v>
      </c>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53" t="s">
        <v>159</v>
      </c>
      <c r="D182" s="53"/>
      <c r="E182" s="53"/>
      <c r="F182" s="53"/>
      <c r="G182" s="54" t="n">
        <f aca="false">SUMIFS(G169:G180,E169:E180,"Optional")</f>
        <v>88</v>
      </c>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53" t="s">
        <v>160</v>
      </c>
      <c r="D183" s="53"/>
      <c r="E183" s="53"/>
      <c r="F183" s="53"/>
      <c r="G183" s="3"/>
      <c r="H183" s="3"/>
      <c r="I183" s="55" t="n">
        <f aca="false">SUM(I169:I180)</f>
        <v>164</v>
      </c>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21.75" hidden="false" customHeight="true" outlineLevel="0" collapsed="false">
      <c r="A185" s="40" t="n">
        <v>30</v>
      </c>
      <c r="B185" s="41" t="s">
        <v>551</v>
      </c>
      <c r="C185" s="41"/>
      <c r="D185" s="41"/>
      <c r="E185" s="41"/>
      <c r="F185" s="41"/>
      <c r="G185" s="41"/>
      <c r="H185" s="41"/>
      <c r="I185" s="41"/>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42" t="s">
        <v>3</v>
      </c>
      <c r="B186" s="42" t="s">
        <v>116</v>
      </c>
      <c r="C186" s="43" t="s">
        <v>117</v>
      </c>
      <c r="D186" s="43" t="s">
        <v>118</v>
      </c>
      <c r="E186" s="42" t="s">
        <v>119</v>
      </c>
      <c r="F186" s="43" t="s">
        <v>120</v>
      </c>
      <c r="G186" s="42" t="s">
        <v>121</v>
      </c>
      <c r="H186" s="42" t="s">
        <v>122</v>
      </c>
      <c r="I186" s="42" t="s">
        <v>9</v>
      </c>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44" t="n">
        <v>30</v>
      </c>
      <c r="B187" s="44" t="s">
        <v>552</v>
      </c>
      <c r="C187" s="45" t="s">
        <v>553</v>
      </c>
      <c r="D187" s="46" t="s">
        <v>554</v>
      </c>
      <c r="E187" s="47" t="s">
        <v>126</v>
      </c>
      <c r="F187" s="48" t="s">
        <v>127</v>
      </c>
      <c r="G187" s="49" t="n">
        <v>32</v>
      </c>
      <c r="H187" s="44" t="s">
        <v>128</v>
      </c>
      <c r="I187" s="44" t="n">
        <f aca="false">IF(H187="Yes",G187,0)</f>
        <v>32</v>
      </c>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44" t="n">
        <v>30</v>
      </c>
      <c r="B188" s="44" t="s">
        <v>555</v>
      </c>
      <c r="C188" s="45" t="s">
        <v>556</v>
      </c>
      <c r="D188" s="46" t="s">
        <v>557</v>
      </c>
      <c r="E188" s="47" t="s">
        <v>126</v>
      </c>
      <c r="F188" s="48" t="s">
        <v>127</v>
      </c>
      <c r="G188" s="49" t="n">
        <v>24</v>
      </c>
      <c r="H188" s="44" t="s">
        <v>128</v>
      </c>
      <c r="I188" s="44" t="n">
        <f aca="false">IF(H188="Yes",G188,0)</f>
        <v>24</v>
      </c>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44" t="n">
        <v>30</v>
      </c>
      <c r="B189" s="44" t="s">
        <v>558</v>
      </c>
      <c r="C189" s="45" t="s">
        <v>559</v>
      </c>
      <c r="D189" s="46" t="s">
        <v>560</v>
      </c>
      <c r="E189" s="47" t="s">
        <v>126</v>
      </c>
      <c r="F189" s="48" t="s">
        <v>127</v>
      </c>
      <c r="G189" s="49" t="n">
        <v>24</v>
      </c>
      <c r="H189" s="44" t="s">
        <v>128</v>
      </c>
      <c r="I189" s="44" t="n">
        <f aca="false">IF(H189="Yes",G189,0)</f>
        <v>24</v>
      </c>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6" t="n">
        <v>30</v>
      </c>
      <c r="B190" s="6" t="s">
        <v>561</v>
      </c>
      <c r="C190" s="50" t="s">
        <v>562</v>
      </c>
      <c r="D190" s="7" t="s">
        <v>563</v>
      </c>
      <c r="E190" s="6" t="s">
        <v>144</v>
      </c>
      <c r="F190" s="7" t="s">
        <v>564</v>
      </c>
      <c r="G190" s="51" t="n">
        <v>24</v>
      </c>
      <c r="H190" s="52" t="s">
        <v>128</v>
      </c>
      <c r="I190" s="6" t="n">
        <f aca="false">IF(H190="Yes",G190,0)</f>
        <v>24</v>
      </c>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6" t="n">
        <v>30</v>
      </c>
      <c r="B191" s="6" t="s">
        <v>565</v>
      </c>
      <c r="C191" s="50" t="s">
        <v>566</v>
      </c>
      <c r="D191" s="7" t="s">
        <v>567</v>
      </c>
      <c r="E191" s="6" t="s">
        <v>144</v>
      </c>
      <c r="F191" s="7" t="s">
        <v>568</v>
      </c>
      <c r="G191" s="51" t="n">
        <v>16</v>
      </c>
      <c r="H191" s="52" t="s">
        <v>128</v>
      </c>
      <c r="I191" s="6" t="n">
        <f aca="false">IF(H191="Yes",G191,0)</f>
        <v>16</v>
      </c>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6" t="n">
        <v>30</v>
      </c>
      <c r="B192" s="6" t="s">
        <v>569</v>
      </c>
      <c r="C192" s="50" t="s">
        <v>570</v>
      </c>
      <c r="D192" s="7" t="s">
        <v>571</v>
      </c>
      <c r="E192" s="6" t="s">
        <v>144</v>
      </c>
      <c r="F192" s="7" t="s">
        <v>572</v>
      </c>
      <c r="G192" s="51" t="n">
        <v>8</v>
      </c>
      <c r="H192" s="52" t="s">
        <v>128</v>
      </c>
      <c r="I192" s="6" t="n">
        <f aca="false">IF(H192="Yes",G192,0)</f>
        <v>8</v>
      </c>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6" t="n">
        <v>30</v>
      </c>
      <c r="B193" s="6" t="s">
        <v>573</v>
      </c>
      <c r="C193" s="50" t="s">
        <v>574</v>
      </c>
      <c r="D193" s="7" t="s">
        <v>575</v>
      </c>
      <c r="E193" s="6" t="s">
        <v>144</v>
      </c>
      <c r="F193" s="7" t="s">
        <v>576</v>
      </c>
      <c r="G193" s="51" t="n">
        <v>8</v>
      </c>
      <c r="H193" s="52" t="s">
        <v>128</v>
      </c>
      <c r="I193" s="6" t="n">
        <f aca="false">IF(H193="Yes",G193,0)</f>
        <v>8</v>
      </c>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6" t="n">
        <v>30</v>
      </c>
      <c r="B194" s="6" t="s">
        <v>577</v>
      </c>
      <c r="C194" s="50" t="s">
        <v>578</v>
      </c>
      <c r="D194" s="7" t="s">
        <v>579</v>
      </c>
      <c r="E194" s="6" t="s">
        <v>144</v>
      </c>
      <c r="F194" s="7" t="s">
        <v>580</v>
      </c>
      <c r="G194" s="51" t="n">
        <v>4</v>
      </c>
      <c r="H194" s="52" t="s">
        <v>128</v>
      </c>
      <c r="I194" s="6" t="n">
        <f aca="false">IF(H194="Yes",G194,0)</f>
        <v>4</v>
      </c>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53" t="s">
        <v>158</v>
      </c>
      <c r="D195" s="53"/>
      <c r="E195" s="53"/>
      <c r="F195" s="53"/>
      <c r="G195" s="54" t="n">
        <f aca="false">SUMIFS(G187:G194,E187:E194,"Core")</f>
        <v>80</v>
      </c>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53" t="s">
        <v>159</v>
      </c>
      <c r="D196" s="53"/>
      <c r="E196" s="53"/>
      <c r="F196" s="53"/>
      <c r="G196" s="54" t="n">
        <f aca="false">SUMIFS(G187:G194,E187:E194,"Optional")</f>
        <v>60</v>
      </c>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53" t="s">
        <v>160</v>
      </c>
      <c r="D197" s="53"/>
      <c r="E197" s="53"/>
      <c r="F197" s="53"/>
      <c r="G197" s="3"/>
      <c r="H197" s="3"/>
      <c r="I197" s="55" t="n">
        <f aca="false">SUM(I187:I194)</f>
        <v>140</v>
      </c>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21.75" hidden="false" customHeight="true" outlineLevel="0" collapsed="false">
      <c r="A199" s="40" t="n">
        <v>33</v>
      </c>
      <c r="B199" s="41" t="s">
        <v>581</v>
      </c>
      <c r="C199" s="41"/>
      <c r="D199" s="41"/>
      <c r="E199" s="41"/>
      <c r="F199" s="41"/>
      <c r="G199" s="41"/>
      <c r="H199" s="41"/>
      <c r="I199" s="41"/>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42" t="s">
        <v>3</v>
      </c>
      <c r="B200" s="42" t="s">
        <v>116</v>
      </c>
      <c r="C200" s="43" t="s">
        <v>117</v>
      </c>
      <c r="D200" s="43" t="s">
        <v>118</v>
      </c>
      <c r="E200" s="42" t="s">
        <v>119</v>
      </c>
      <c r="F200" s="43" t="s">
        <v>120</v>
      </c>
      <c r="G200" s="42" t="s">
        <v>121</v>
      </c>
      <c r="H200" s="42" t="s">
        <v>122</v>
      </c>
      <c r="I200" s="42" t="s">
        <v>9</v>
      </c>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44" t="n">
        <v>33</v>
      </c>
      <c r="B201" s="44" t="s">
        <v>582</v>
      </c>
      <c r="C201" s="45" t="s">
        <v>583</v>
      </c>
      <c r="D201" s="46" t="s">
        <v>584</v>
      </c>
      <c r="E201" s="47" t="s">
        <v>126</v>
      </c>
      <c r="F201" s="48" t="s">
        <v>127</v>
      </c>
      <c r="G201" s="49" t="n">
        <v>80</v>
      </c>
      <c r="H201" s="44" t="s">
        <v>128</v>
      </c>
      <c r="I201" s="44" t="n">
        <f aca="false">IF(H201="Yes",G201,0)</f>
        <v>80</v>
      </c>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44" t="n">
        <v>33</v>
      </c>
      <c r="B202" s="44" t="s">
        <v>585</v>
      </c>
      <c r="C202" s="45" t="s">
        <v>586</v>
      </c>
      <c r="D202" s="46" t="s">
        <v>587</v>
      </c>
      <c r="E202" s="47" t="s">
        <v>126</v>
      </c>
      <c r="F202" s="48" t="s">
        <v>127</v>
      </c>
      <c r="G202" s="49" t="n">
        <v>24</v>
      </c>
      <c r="H202" s="44" t="s">
        <v>128</v>
      </c>
      <c r="I202" s="44" t="n">
        <f aca="false">IF(H202="Yes",G202,0)</f>
        <v>24</v>
      </c>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44" t="n">
        <v>33</v>
      </c>
      <c r="B203" s="44" t="s">
        <v>588</v>
      </c>
      <c r="C203" s="45" t="s">
        <v>589</v>
      </c>
      <c r="D203" s="46" t="s">
        <v>590</v>
      </c>
      <c r="E203" s="47" t="s">
        <v>126</v>
      </c>
      <c r="F203" s="48" t="s">
        <v>127</v>
      </c>
      <c r="G203" s="49" t="n">
        <v>24</v>
      </c>
      <c r="H203" s="44" t="s">
        <v>128</v>
      </c>
      <c r="I203" s="44" t="n">
        <f aca="false">IF(H203="Yes",G203,0)</f>
        <v>24</v>
      </c>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44" t="n">
        <v>33</v>
      </c>
      <c r="B204" s="44" t="s">
        <v>591</v>
      </c>
      <c r="C204" s="45" t="s">
        <v>592</v>
      </c>
      <c r="D204" s="46" t="s">
        <v>593</v>
      </c>
      <c r="E204" s="47" t="s">
        <v>126</v>
      </c>
      <c r="F204" s="48" t="s">
        <v>127</v>
      </c>
      <c r="G204" s="49" t="n">
        <v>32</v>
      </c>
      <c r="H204" s="44" t="s">
        <v>128</v>
      </c>
      <c r="I204" s="44" t="n">
        <f aca="false">IF(H204="Yes",G204,0)</f>
        <v>32</v>
      </c>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44" t="n">
        <v>33</v>
      </c>
      <c r="B205" s="44" t="s">
        <v>594</v>
      </c>
      <c r="C205" s="45" t="s">
        <v>595</v>
      </c>
      <c r="D205" s="46" t="s">
        <v>596</v>
      </c>
      <c r="E205" s="47" t="s">
        <v>126</v>
      </c>
      <c r="F205" s="48" t="s">
        <v>127</v>
      </c>
      <c r="G205" s="49" t="n">
        <v>16</v>
      </c>
      <c r="H205" s="44" t="s">
        <v>128</v>
      </c>
      <c r="I205" s="44" t="n">
        <f aca="false">IF(H205="Yes",G205,0)</f>
        <v>16</v>
      </c>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6" t="n">
        <v>33</v>
      </c>
      <c r="B206" s="6" t="s">
        <v>597</v>
      </c>
      <c r="C206" s="50" t="s">
        <v>598</v>
      </c>
      <c r="D206" s="7" t="s">
        <v>599</v>
      </c>
      <c r="E206" s="6" t="s">
        <v>144</v>
      </c>
      <c r="F206" s="7" t="s">
        <v>600</v>
      </c>
      <c r="G206" s="51" t="n">
        <v>24</v>
      </c>
      <c r="H206" s="52" t="s">
        <v>128</v>
      </c>
      <c r="I206" s="6" t="n">
        <f aca="false">IF(H206="Yes",G206,0)</f>
        <v>24</v>
      </c>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6" t="n">
        <v>33</v>
      </c>
      <c r="B207" s="6" t="s">
        <v>601</v>
      </c>
      <c r="C207" s="50" t="s">
        <v>602</v>
      </c>
      <c r="D207" s="7" t="s">
        <v>603</v>
      </c>
      <c r="E207" s="6" t="s">
        <v>144</v>
      </c>
      <c r="F207" s="7" t="s">
        <v>604</v>
      </c>
      <c r="G207" s="51" t="n">
        <v>16</v>
      </c>
      <c r="H207" s="52" t="s">
        <v>128</v>
      </c>
      <c r="I207" s="6" t="n">
        <f aca="false">IF(H207="Yes",G207,0)</f>
        <v>16</v>
      </c>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6" t="n">
        <v>33</v>
      </c>
      <c r="B208" s="6" t="s">
        <v>605</v>
      </c>
      <c r="C208" s="50" t="s">
        <v>606</v>
      </c>
      <c r="D208" s="7" t="s">
        <v>607</v>
      </c>
      <c r="E208" s="6" t="s">
        <v>144</v>
      </c>
      <c r="F208" s="7" t="s">
        <v>608</v>
      </c>
      <c r="G208" s="51" t="n">
        <v>12</v>
      </c>
      <c r="H208" s="52" t="s">
        <v>128</v>
      </c>
      <c r="I208" s="6" t="n">
        <f aca="false">IF(H208="Yes",G208,0)</f>
        <v>12</v>
      </c>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6" t="n">
        <v>33</v>
      </c>
      <c r="B209" s="6" t="s">
        <v>609</v>
      </c>
      <c r="C209" s="50" t="s">
        <v>610</v>
      </c>
      <c r="D209" s="7" t="s">
        <v>611</v>
      </c>
      <c r="E209" s="6" t="s">
        <v>144</v>
      </c>
      <c r="F209" s="7" t="s">
        <v>608</v>
      </c>
      <c r="G209" s="51" t="n">
        <v>12</v>
      </c>
      <c r="H209" s="52" t="s">
        <v>128</v>
      </c>
      <c r="I209" s="6" t="n">
        <f aca="false">IF(H209="Yes",G209,0)</f>
        <v>12</v>
      </c>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6" t="n">
        <v>33</v>
      </c>
      <c r="B210" s="6" t="s">
        <v>612</v>
      </c>
      <c r="C210" s="50" t="s">
        <v>613</v>
      </c>
      <c r="D210" s="7" t="s">
        <v>614</v>
      </c>
      <c r="E210" s="6" t="s">
        <v>144</v>
      </c>
      <c r="F210" s="7" t="s">
        <v>615</v>
      </c>
      <c r="G210" s="51" t="n">
        <v>8</v>
      </c>
      <c r="H210" s="52" t="s">
        <v>128</v>
      </c>
      <c r="I210" s="6" t="n">
        <f aca="false">IF(H210="Yes",G210,0)</f>
        <v>8</v>
      </c>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53" t="s">
        <v>158</v>
      </c>
      <c r="D211" s="53"/>
      <c r="E211" s="53"/>
      <c r="F211" s="53"/>
      <c r="G211" s="54" t="n">
        <f aca="false">SUMIFS(G201:G210,E201:E210,"Core")</f>
        <v>176</v>
      </c>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53" t="s">
        <v>159</v>
      </c>
      <c r="D212" s="53"/>
      <c r="E212" s="53"/>
      <c r="F212" s="53"/>
      <c r="G212" s="54" t="n">
        <f aca="false">SUMIFS(G201:G210,E201:E210,"Optional")</f>
        <v>72</v>
      </c>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53" t="s">
        <v>160</v>
      </c>
      <c r="D213" s="53"/>
      <c r="E213" s="53"/>
      <c r="F213" s="53"/>
      <c r="G213" s="3"/>
      <c r="H213" s="3"/>
      <c r="I213" s="55" t="n">
        <f aca="false">SUM(I201:I210)</f>
        <v>248</v>
      </c>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21.75" hidden="false" customHeight="true" outlineLevel="0" collapsed="false">
      <c r="A215" s="40" t="n">
        <v>34</v>
      </c>
      <c r="B215" s="41" t="s">
        <v>616</v>
      </c>
      <c r="C215" s="41"/>
      <c r="D215" s="41"/>
      <c r="E215" s="41"/>
      <c r="F215" s="41"/>
      <c r="G215" s="41"/>
      <c r="H215" s="41"/>
      <c r="I215" s="41"/>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42" t="s">
        <v>3</v>
      </c>
      <c r="B216" s="42" t="s">
        <v>116</v>
      </c>
      <c r="C216" s="43" t="s">
        <v>117</v>
      </c>
      <c r="D216" s="43" t="s">
        <v>118</v>
      </c>
      <c r="E216" s="42" t="s">
        <v>119</v>
      </c>
      <c r="F216" s="43" t="s">
        <v>120</v>
      </c>
      <c r="G216" s="42" t="s">
        <v>121</v>
      </c>
      <c r="H216" s="42" t="s">
        <v>122</v>
      </c>
      <c r="I216" s="42" t="s">
        <v>9</v>
      </c>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44" t="n">
        <v>34</v>
      </c>
      <c r="B217" s="44" t="s">
        <v>617</v>
      </c>
      <c r="C217" s="45" t="s">
        <v>618</v>
      </c>
      <c r="D217" s="46" t="s">
        <v>619</v>
      </c>
      <c r="E217" s="47" t="s">
        <v>126</v>
      </c>
      <c r="F217" s="48" t="s">
        <v>127</v>
      </c>
      <c r="G217" s="49" t="n">
        <v>40</v>
      </c>
      <c r="H217" s="44" t="s">
        <v>128</v>
      </c>
      <c r="I217" s="44" t="n">
        <f aca="false">IF(H217="Yes",G217,0)</f>
        <v>40</v>
      </c>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44" t="n">
        <v>34</v>
      </c>
      <c r="B218" s="44" t="s">
        <v>620</v>
      </c>
      <c r="C218" s="45" t="s">
        <v>621</v>
      </c>
      <c r="D218" s="46" t="s">
        <v>622</v>
      </c>
      <c r="E218" s="47" t="s">
        <v>126</v>
      </c>
      <c r="F218" s="48" t="s">
        <v>127</v>
      </c>
      <c r="G218" s="49" t="n">
        <v>24</v>
      </c>
      <c r="H218" s="44" t="s">
        <v>128</v>
      </c>
      <c r="I218" s="44" t="n">
        <f aca="false">IF(H218="Yes",G218,0)</f>
        <v>24</v>
      </c>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44" t="n">
        <v>34</v>
      </c>
      <c r="B219" s="44" t="s">
        <v>623</v>
      </c>
      <c r="C219" s="45" t="s">
        <v>624</v>
      </c>
      <c r="D219" s="46" t="s">
        <v>625</v>
      </c>
      <c r="E219" s="47" t="s">
        <v>126</v>
      </c>
      <c r="F219" s="48" t="s">
        <v>127</v>
      </c>
      <c r="G219" s="49" t="n">
        <v>16</v>
      </c>
      <c r="H219" s="44" t="s">
        <v>128</v>
      </c>
      <c r="I219" s="44" t="n">
        <f aca="false">IF(H219="Yes",G219,0)</f>
        <v>16</v>
      </c>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44" t="n">
        <v>34</v>
      </c>
      <c r="B220" s="44" t="s">
        <v>626</v>
      </c>
      <c r="C220" s="45" t="s">
        <v>627</v>
      </c>
      <c r="D220" s="46" t="s">
        <v>628</v>
      </c>
      <c r="E220" s="47" t="s">
        <v>126</v>
      </c>
      <c r="F220" s="48" t="s">
        <v>127</v>
      </c>
      <c r="G220" s="49" t="n">
        <v>48</v>
      </c>
      <c r="H220" s="44" t="s">
        <v>128</v>
      </c>
      <c r="I220" s="44" t="n">
        <f aca="false">IF(H220="Yes",G220,0)</f>
        <v>48</v>
      </c>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6" t="n">
        <v>34</v>
      </c>
      <c r="B221" s="6" t="s">
        <v>629</v>
      </c>
      <c r="C221" s="50" t="s">
        <v>630</v>
      </c>
      <c r="D221" s="7" t="s">
        <v>631</v>
      </c>
      <c r="E221" s="6" t="s">
        <v>144</v>
      </c>
      <c r="F221" s="7" t="s">
        <v>632</v>
      </c>
      <c r="G221" s="51" t="n">
        <v>16</v>
      </c>
      <c r="H221" s="52" t="s">
        <v>128</v>
      </c>
      <c r="I221" s="6" t="n">
        <f aca="false">IF(H221="Yes",G221,0)</f>
        <v>16</v>
      </c>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6" t="n">
        <v>34</v>
      </c>
      <c r="B222" s="6" t="s">
        <v>633</v>
      </c>
      <c r="C222" s="50" t="s">
        <v>634</v>
      </c>
      <c r="D222" s="7" t="s">
        <v>635</v>
      </c>
      <c r="E222" s="6" t="s">
        <v>144</v>
      </c>
      <c r="F222" s="7" t="s">
        <v>636</v>
      </c>
      <c r="G222" s="51" t="n">
        <v>24</v>
      </c>
      <c r="H222" s="52" t="s">
        <v>128</v>
      </c>
      <c r="I222" s="6" t="n">
        <f aca="false">IF(H222="Yes",G222,0)</f>
        <v>24</v>
      </c>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6" t="n">
        <v>34</v>
      </c>
      <c r="B223" s="6" t="s">
        <v>637</v>
      </c>
      <c r="C223" s="50" t="s">
        <v>638</v>
      </c>
      <c r="D223" s="7" t="s">
        <v>639</v>
      </c>
      <c r="E223" s="6" t="s">
        <v>144</v>
      </c>
      <c r="F223" s="7" t="s">
        <v>640</v>
      </c>
      <c r="G223" s="51" t="n">
        <v>8</v>
      </c>
      <c r="H223" s="52" t="s">
        <v>128</v>
      </c>
      <c r="I223" s="6" t="n">
        <f aca="false">IF(H223="Yes",G223,0)</f>
        <v>8</v>
      </c>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6" t="n">
        <v>34</v>
      </c>
      <c r="B224" s="6" t="s">
        <v>641</v>
      </c>
      <c r="C224" s="50" t="s">
        <v>642</v>
      </c>
      <c r="D224" s="7" t="s">
        <v>643</v>
      </c>
      <c r="E224" s="6" t="s">
        <v>144</v>
      </c>
      <c r="F224" s="7" t="s">
        <v>644</v>
      </c>
      <c r="G224" s="51" t="n">
        <v>24</v>
      </c>
      <c r="H224" s="52" t="s">
        <v>128</v>
      </c>
      <c r="I224" s="6" t="n">
        <f aca="false">IF(H224="Yes",G224,0)</f>
        <v>24</v>
      </c>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6" t="n">
        <v>34</v>
      </c>
      <c r="B225" s="6" t="s">
        <v>645</v>
      </c>
      <c r="C225" s="50" t="s">
        <v>646</v>
      </c>
      <c r="D225" s="7" t="s">
        <v>647</v>
      </c>
      <c r="E225" s="6" t="s">
        <v>144</v>
      </c>
      <c r="F225" s="7" t="s">
        <v>648</v>
      </c>
      <c r="G225" s="51" t="n">
        <v>12</v>
      </c>
      <c r="H225" s="52" t="s">
        <v>128</v>
      </c>
      <c r="I225" s="6" t="n">
        <f aca="false">IF(H225="Yes",G225,0)</f>
        <v>12</v>
      </c>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6" t="n">
        <v>34</v>
      </c>
      <c r="B226" s="6" t="s">
        <v>649</v>
      </c>
      <c r="C226" s="50" t="s">
        <v>650</v>
      </c>
      <c r="D226" s="7" t="s">
        <v>651</v>
      </c>
      <c r="E226" s="6" t="s">
        <v>144</v>
      </c>
      <c r="F226" s="7" t="s">
        <v>652</v>
      </c>
      <c r="G226" s="51" t="n">
        <v>12</v>
      </c>
      <c r="H226" s="52" t="s">
        <v>128</v>
      </c>
      <c r="I226" s="6" t="n">
        <f aca="false">IF(H226="Yes",G226,0)</f>
        <v>12</v>
      </c>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53" t="s">
        <v>158</v>
      </c>
      <c r="D227" s="53"/>
      <c r="E227" s="53"/>
      <c r="F227" s="53"/>
      <c r="G227" s="54" t="n">
        <f aca="false">SUMIFS(G217:G226,E217:E226,"Core")</f>
        <v>128</v>
      </c>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53" t="s">
        <v>159</v>
      </c>
      <c r="D228" s="53"/>
      <c r="E228" s="53"/>
      <c r="F228" s="53"/>
      <c r="G228" s="54" t="n">
        <f aca="false">SUMIFS(G217:G226,E217:E226,"Optional")</f>
        <v>96</v>
      </c>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53" t="s">
        <v>160</v>
      </c>
      <c r="D229" s="53"/>
      <c r="E229" s="53"/>
      <c r="F229" s="53"/>
      <c r="G229" s="3"/>
      <c r="H229" s="3"/>
      <c r="I229" s="55" t="n">
        <f aca="false">SUM(I217:I226)</f>
        <v>224</v>
      </c>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21.75" hidden="false" customHeight="true" outlineLevel="0" collapsed="false">
      <c r="A232" s="40" t="s">
        <v>653</v>
      </c>
      <c r="B232" s="56" t="s">
        <v>654</v>
      </c>
      <c r="J232" s="3"/>
      <c r="K232" s="3"/>
      <c r="L232" s="3"/>
      <c r="M232" s="3"/>
      <c r="N232" s="3"/>
      <c r="O232" s="3"/>
      <c r="P232" s="3"/>
      <c r="Q232" s="3"/>
      <c r="R232" s="3"/>
      <c r="S232" s="3"/>
      <c r="T232" s="3"/>
      <c r="U232" s="3"/>
      <c r="V232" s="3"/>
      <c r="W232" s="3"/>
      <c r="X232" s="3"/>
      <c r="Y232" s="3"/>
      <c r="Z232" s="3"/>
    </row>
    <row r="233" customFormat="false" ht="21.75" hidden="false" customHeight="true" outlineLevel="0" collapsed="false">
      <c r="A233" s="42" t="s">
        <v>3</v>
      </c>
      <c r="B233" s="42" t="s">
        <v>116</v>
      </c>
      <c r="C233" s="43" t="s">
        <v>117</v>
      </c>
      <c r="D233" s="43" t="s">
        <v>118</v>
      </c>
      <c r="E233" s="42" t="s">
        <v>119</v>
      </c>
      <c r="F233" s="43" t="s">
        <v>120</v>
      </c>
      <c r="G233" s="42" t="s">
        <v>121</v>
      </c>
      <c r="H233" s="42" t="s">
        <v>122</v>
      </c>
      <c r="I233" s="42" t="s">
        <v>9</v>
      </c>
      <c r="J233" s="3"/>
      <c r="K233" s="3"/>
      <c r="L233" s="3"/>
      <c r="M233" s="3"/>
      <c r="N233" s="3"/>
      <c r="O233" s="3"/>
      <c r="P233" s="3"/>
      <c r="Q233" s="3"/>
      <c r="R233" s="3"/>
      <c r="S233" s="3"/>
      <c r="T233" s="3"/>
      <c r="U233" s="3"/>
      <c r="V233" s="3"/>
      <c r="W233" s="3"/>
      <c r="X233" s="3"/>
      <c r="Y233" s="3"/>
      <c r="Z233" s="3"/>
    </row>
    <row r="234" customFormat="false" ht="45.75" hidden="false" customHeight="true" outlineLevel="0" collapsed="false">
      <c r="A234" s="6" t="n">
        <v>15</v>
      </c>
      <c r="B234" s="6" t="s">
        <v>655</v>
      </c>
      <c r="C234" s="50" t="s">
        <v>656</v>
      </c>
      <c r="D234" s="7" t="s">
        <v>657</v>
      </c>
      <c r="E234" s="6" t="s">
        <v>658</v>
      </c>
      <c r="F234" s="7" t="s">
        <v>659</v>
      </c>
      <c r="G234" s="51" t="n">
        <v>16</v>
      </c>
      <c r="H234" s="52" t="s">
        <v>660</v>
      </c>
      <c r="I234" s="6" t="n">
        <f aca="false">IF(H234="Yes",G234,0)</f>
        <v>0</v>
      </c>
      <c r="J234" s="3"/>
      <c r="K234" s="3"/>
      <c r="L234" s="3"/>
      <c r="M234" s="3"/>
      <c r="N234" s="3"/>
      <c r="O234" s="3"/>
      <c r="P234" s="3"/>
      <c r="Q234" s="3"/>
      <c r="R234" s="3"/>
      <c r="S234" s="3"/>
      <c r="T234" s="3"/>
      <c r="U234" s="3"/>
      <c r="V234" s="3"/>
      <c r="W234" s="3"/>
      <c r="X234" s="3"/>
      <c r="Y234" s="3"/>
      <c r="Z234" s="3"/>
    </row>
    <row r="235" customFormat="false" ht="34.5" hidden="false" customHeight="true" outlineLevel="0" collapsed="false">
      <c r="A235" s="6" t="n">
        <v>16</v>
      </c>
      <c r="B235" s="6" t="s">
        <v>661</v>
      </c>
      <c r="C235" s="50" t="s">
        <v>662</v>
      </c>
      <c r="D235" s="7" t="s">
        <v>663</v>
      </c>
      <c r="E235" s="6" t="s">
        <v>658</v>
      </c>
      <c r="F235" s="7" t="s">
        <v>664</v>
      </c>
      <c r="G235" s="51" t="n">
        <v>40</v>
      </c>
      <c r="H235" s="52" t="s">
        <v>660</v>
      </c>
      <c r="I235" s="6" t="n">
        <f aca="false">IF(H235="Yes",G235,0)</f>
        <v>0</v>
      </c>
      <c r="J235" s="3"/>
      <c r="K235" s="3"/>
      <c r="L235" s="3"/>
      <c r="M235" s="3"/>
      <c r="N235" s="3"/>
      <c r="O235" s="3"/>
      <c r="P235" s="3"/>
      <c r="Q235" s="3"/>
      <c r="R235" s="3"/>
      <c r="S235" s="3"/>
      <c r="T235" s="3"/>
      <c r="U235" s="3"/>
      <c r="V235" s="3"/>
      <c r="W235" s="3"/>
      <c r="X235" s="3"/>
      <c r="Y235" s="3"/>
      <c r="Z235" s="3"/>
    </row>
    <row r="236" customFormat="false" ht="34.5" hidden="false" customHeight="true" outlineLevel="0" collapsed="false">
      <c r="A236" s="6" t="n">
        <v>17</v>
      </c>
      <c r="B236" s="6" t="s">
        <v>665</v>
      </c>
      <c r="C236" s="50" t="s">
        <v>666</v>
      </c>
      <c r="D236" s="7" t="s">
        <v>667</v>
      </c>
      <c r="E236" s="6" t="s">
        <v>658</v>
      </c>
      <c r="F236" s="7" t="s">
        <v>668</v>
      </c>
      <c r="G236" s="51" t="n">
        <v>32</v>
      </c>
      <c r="H236" s="52" t="s">
        <v>660</v>
      </c>
      <c r="I236" s="6" t="n">
        <f aca="false">IF(H236="Yes",G236,0)</f>
        <v>0</v>
      </c>
      <c r="J236" s="3"/>
      <c r="K236" s="3"/>
      <c r="L236" s="3"/>
      <c r="M236" s="3"/>
      <c r="N236" s="3"/>
      <c r="O236" s="3"/>
      <c r="P236" s="3"/>
      <c r="Q236" s="3"/>
      <c r="R236" s="3"/>
      <c r="S236" s="3"/>
      <c r="T236" s="3"/>
      <c r="U236" s="3"/>
      <c r="V236" s="3"/>
      <c r="W236" s="3"/>
      <c r="X236" s="3"/>
      <c r="Y236" s="3"/>
      <c r="Z236" s="3"/>
    </row>
    <row r="237" customFormat="false" ht="34.5" hidden="false" customHeight="true" outlineLevel="0" collapsed="false">
      <c r="A237" s="6" t="n">
        <v>20</v>
      </c>
      <c r="B237" s="6" t="s">
        <v>669</v>
      </c>
      <c r="C237" s="50" t="s">
        <v>670</v>
      </c>
      <c r="D237" s="7" t="s">
        <v>671</v>
      </c>
      <c r="E237" s="6" t="s">
        <v>658</v>
      </c>
      <c r="F237" s="7" t="s">
        <v>672</v>
      </c>
      <c r="G237" s="51" t="n">
        <v>32</v>
      </c>
      <c r="H237" s="52" t="s">
        <v>660</v>
      </c>
      <c r="I237" s="6" t="n">
        <f aca="false">IF(H237="Yes",G237,0)</f>
        <v>0</v>
      </c>
      <c r="J237" s="3"/>
      <c r="K237" s="3"/>
      <c r="L237" s="3"/>
      <c r="M237" s="3"/>
      <c r="N237" s="3"/>
      <c r="O237" s="3"/>
      <c r="P237" s="3"/>
      <c r="Q237" s="3"/>
      <c r="R237" s="3"/>
      <c r="S237" s="3"/>
      <c r="T237" s="3"/>
      <c r="U237" s="3"/>
      <c r="V237" s="3"/>
      <c r="W237" s="3"/>
      <c r="X237" s="3"/>
      <c r="Y237" s="3"/>
      <c r="Z237" s="3"/>
    </row>
    <row r="238" customFormat="false" ht="15" hidden="false" customHeight="true" outlineLevel="0" collapsed="false">
      <c r="A238" s="57"/>
      <c r="B238" s="57"/>
      <c r="C238" s="58" t="s">
        <v>673</v>
      </c>
      <c r="D238" s="58"/>
      <c r="E238" s="57"/>
      <c r="F238" s="58"/>
      <c r="G238" s="57" t="n">
        <f aca="false">SUM(G234:G237)</f>
        <v>120</v>
      </c>
      <c r="H238" s="59"/>
      <c r="I238" s="57"/>
      <c r="J238" s="3"/>
      <c r="K238" s="3"/>
      <c r="L238" s="3"/>
      <c r="M238" s="3"/>
      <c r="N238" s="3"/>
      <c r="O238" s="3"/>
      <c r="P238" s="3"/>
      <c r="Q238" s="3"/>
      <c r="R238" s="3"/>
      <c r="S238" s="3"/>
      <c r="T238" s="3"/>
      <c r="U238" s="3"/>
      <c r="V238" s="3"/>
      <c r="W238" s="3"/>
      <c r="X238" s="3"/>
      <c r="Y238" s="3"/>
      <c r="Z238" s="3"/>
    </row>
    <row r="239" customFormat="false" ht="15" hidden="false" customHeight="true" outlineLevel="0" collapsed="false">
      <c r="A239" s="57"/>
      <c r="B239" s="57"/>
      <c r="C239" s="58" t="s">
        <v>674</v>
      </c>
      <c r="D239" s="58"/>
      <c r="E239" s="57"/>
      <c r="F239" s="58"/>
      <c r="G239" s="57"/>
      <c r="H239" s="59"/>
      <c r="I239" s="57" t="n">
        <f aca="false">SUM(I234:I237)</f>
        <v>0</v>
      </c>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7">
    <mergeCell ref="A2:I2"/>
    <mergeCell ref="B4:I4"/>
    <mergeCell ref="C15:F15"/>
    <mergeCell ref="C16:F16"/>
    <mergeCell ref="C17:F17"/>
    <mergeCell ref="B19:I19"/>
    <mergeCell ref="C33:F33"/>
    <mergeCell ref="C34:F34"/>
    <mergeCell ref="C35:F35"/>
    <mergeCell ref="B37:I37"/>
    <mergeCell ref="C48:F48"/>
    <mergeCell ref="C49:F49"/>
    <mergeCell ref="C50:F50"/>
    <mergeCell ref="B52:I52"/>
    <mergeCell ref="C63:F63"/>
    <mergeCell ref="C64:F64"/>
    <mergeCell ref="C65:F65"/>
    <mergeCell ref="B67:I67"/>
    <mergeCell ref="C79:F79"/>
    <mergeCell ref="C80:F80"/>
    <mergeCell ref="C81:F81"/>
    <mergeCell ref="B83:I83"/>
    <mergeCell ref="C96:F96"/>
    <mergeCell ref="C97:F97"/>
    <mergeCell ref="C98:F98"/>
    <mergeCell ref="B100:I100"/>
    <mergeCell ref="C116:F116"/>
    <mergeCell ref="C117:F117"/>
    <mergeCell ref="C118:F118"/>
    <mergeCell ref="B120:I120"/>
    <mergeCell ref="C132:F132"/>
    <mergeCell ref="C133:F133"/>
    <mergeCell ref="C134:F134"/>
    <mergeCell ref="B136:I136"/>
    <mergeCell ref="C148:F148"/>
    <mergeCell ref="C149:F149"/>
    <mergeCell ref="C150:F150"/>
    <mergeCell ref="B152:I152"/>
    <mergeCell ref="C163:F163"/>
    <mergeCell ref="C164:F164"/>
    <mergeCell ref="C165:F165"/>
    <mergeCell ref="B167:I167"/>
    <mergeCell ref="C181:F181"/>
    <mergeCell ref="C182:F182"/>
    <mergeCell ref="C183:F183"/>
    <mergeCell ref="B185:I185"/>
    <mergeCell ref="C195:F195"/>
    <mergeCell ref="C196:F196"/>
    <mergeCell ref="C197:F197"/>
    <mergeCell ref="B199:I199"/>
    <mergeCell ref="C211:F211"/>
    <mergeCell ref="C212:F212"/>
    <mergeCell ref="C213:F213"/>
    <mergeCell ref="B215:I215"/>
    <mergeCell ref="C227:F227"/>
    <mergeCell ref="C228:F228"/>
    <mergeCell ref="C229:F229"/>
  </mergeCells>
  <dataValidations count="2">
    <dataValidation allowBlank="true" errorStyle="stop" operator="between" prompt="Yes or No - Choose Yes or No." showDropDown="false" showErrorMessage="true" showInputMessage="true" sqref="H11:H14 H26:H32 H43:H47 H57:H62 H74:H78 H89:H95 H107:H115 H125:H131 H143:H147 H158:H162 H174:H180 H190:H194 H206:H210 H221:H226" type="list">
      <formula1>"Yes,No"</formula1>
      <formula2>0</formula2>
    </dataValidation>
    <dataValidation allowBlank="true" errorStyle="stop" operator="between" showDropDown="false" showErrorMessage="false" showInputMessage="false" sqref="H234:H23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2" min="2" style="1" width="100"/>
    <col collapsed="false" customWidth="true" hidden="false" outlineLevel="0" max="26" min="3" style="1" width="8.71"/>
  </cols>
  <sheetData>
    <row r="1" customFormat="false" ht="17.25" hidden="false" customHeight="true" outlineLevel="0" collapsed="false">
      <c r="A1" s="60" t="s">
        <v>675</v>
      </c>
      <c r="B1" s="3"/>
      <c r="C1" s="3"/>
      <c r="D1" s="3"/>
      <c r="E1" s="3"/>
      <c r="F1" s="3"/>
      <c r="G1" s="3"/>
      <c r="H1" s="3"/>
      <c r="I1" s="3"/>
      <c r="J1" s="3"/>
      <c r="K1" s="3"/>
      <c r="L1" s="3"/>
      <c r="M1" s="3"/>
      <c r="N1" s="3"/>
      <c r="O1" s="3"/>
      <c r="P1" s="3"/>
      <c r="Q1" s="3"/>
      <c r="R1" s="3"/>
      <c r="S1" s="3"/>
      <c r="T1" s="3"/>
      <c r="U1" s="3"/>
      <c r="V1" s="3"/>
      <c r="W1" s="3"/>
      <c r="X1" s="3"/>
      <c r="Y1" s="3"/>
      <c r="Z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row>
    <row r="3" customFormat="false" ht="31.5" hidden="false" customHeight="true" outlineLevel="0" collapsed="false">
      <c r="A3" s="61" t="s">
        <v>676</v>
      </c>
      <c r="B3" s="62" t="s">
        <v>677</v>
      </c>
      <c r="C3" s="3"/>
      <c r="D3" s="3"/>
      <c r="E3" s="3"/>
      <c r="F3" s="3"/>
      <c r="G3" s="3"/>
      <c r="H3" s="3"/>
      <c r="I3" s="3"/>
      <c r="J3" s="3"/>
      <c r="K3" s="3"/>
      <c r="L3" s="3"/>
      <c r="M3" s="3"/>
      <c r="N3" s="3"/>
      <c r="O3" s="3"/>
      <c r="P3" s="3"/>
      <c r="Q3" s="3"/>
      <c r="R3" s="3"/>
      <c r="S3" s="3"/>
      <c r="T3" s="3"/>
      <c r="U3" s="3"/>
      <c r="V3" s="3"/>
      <c r="W3" s="3"/>
      <c r="X3" s="3"/>
      <c r="Y3" s="3"/>
      <c r="Z3" s="3"/>
    </row>
    <row r="4" customFormat="false" ht="31.5" hidden="false" customHeight="true" outlineLevel="0" collapsed="false">
      <c r="A4" s="61" t="s">
        <v>678</v>
      </c>
      <c r="B4" s="62" t="s">
        <v>679</v>
      </c>
      <c r="C4" s="3"/>
      <c r="D4" s="3"/>
      <c r="E4" s="3"/>
      <c r="F4" s="3"/>
      <c r="G4" s="3"/>
      <c r="H4" s="3"/>
      <c r="I4" s="3"/>
      <c r="J4" s="3"/>
      <c r="K4" s="3"/>
      <c r="L4" s="3"/>
      <c r="M4" s="3"/>
      <c r="N4" s="3"/>
      <c r="O4" s="3"/>
      <c r="P4" s="3"/>
      <c r="Q4" s="3"/>
      <c r="R4" s="3"/>
      <c r="S4" s="3"/>
      <c r="T4" s="3"/>
      <c r="U4" s="3"/>
      <c r="V4" s="3"/>
      <c r="W4" s="3"/>
      <c r="X4" s="3"/>
      <c r="Y4" s="3"/>
      <c r="Z4" s="3"/>
    </row>
    <row r="5" customFormat="false" ht="31.5" hidden="false" customHeight="true" outlineLevel="0" collapsed="false">
      <c r="A5" s="61" t="s">
        <v>680</v>
      </c>
      <c r="B5" s="62" t="s">
        <v>681</v>
      </c>
      <c r="C5" s="3"/>
      <c r="D5" s="3"/>
      <c r="E5" s="3"/>
      <c r="F5" s="3"/>
      <c r="G5" s="3"/>
      <c r="H5" s="3"/>
      <c r="I5" s="3"/>
      <c r="J5" s="3"/>
      <c r="K5" s="3"/>
      <c r="L5" s="3"/>
      <c r="M5" s="3"/>
      <c r="N5" s="3"/>
      <c r="O5" s="3"/>
      <c r="P5" s="3"/>
      <c r="Q5" s="3"/>
      <c r="R5" s="3"/>
      <c r="S5" s="3"/>
      <c r="T5" s="3"/>
      <c r="U5" s="3"/>
      <c r="V5" s="3"/>
      <c r="W5" s="3"/>
      <c r="X5" s="3"/>
      <c r="Y5" s="3"/>
      <c r="Z5" s="3"/>
    </row>
    <row r="6" customFormat="false" ht="31.5" hidden="false" customHeight="true" outlineLevel="0" collapsed="false">
      <c r="A6" s="61" t="s">
        <v>682</v>
      </c>
      <c r="B6" s="62" t="s">
        <v>683</v>
      </c>
      <c r="C6" s="3"/>
      <c r="D6" s="3"/>
      <c r="E6" s="3"/>
      <c r="F6" s="3"/>
      <c r="G6" s="3"/>
      <c r="H6" s="3"/>
      <c r="I6" s="3"/>
      <c r="J6" s="3"/>
      <c r="K6" s="3"/>
      <c r="L6" s="3"/>
      <c r="M6" s="3"/>
      <c r="N6" s="3"/>
      <c r="O6" s="3"/>
      <c r="P6" s="3"/>
      <c r="Q6" s="3"/>
      <c r="R6" s="3"/>
      <c r="S6" s="3"/>
      <c r="T6" s="3"/>
      <c r="U6" s="3"/>
      <c r="V6" s="3"/>
      <c r="W6" s="3"/>
      <c r="X6" s="3"/>
      <c r="Y6" s="3"/>
      <c r="Z6" s="3"/>
    </row>
    <row r="7" customFormat="false" ht="31.5" hidden="false" customHeight="true" outlineLevel="0" collapsed="false">
      <c r="A7" s="61" t="s">
        <v>684</v>
      </c>
      <c r="B7" s="62" t="s">
        <v>685</v>
      </c>
      <c r="C7" s="3"/>
      <c r="D7" s="3"/>
      <c r="E7" s="3"/>
      <c r="F7" s="3"/>
      <c r="G7" s="3"/>
      <c r="H7" s="3"/>
      <c r="I7" s="3"/>
      <c r="J7" s="3"/>
      <c r="K7" s="3"/>
      <c r="L7" s="3"/>
      <c r="M7" s="3"/>
      <c r="N7" s="3"/>
      <c r="O7" s="3"/>
      <c r="P7" s="3"/>
      <c r="Q7" s="3"/>
      <c r="R7" s="3"/>
      <c r="S7" s="3"/>
      <c r="T7" s="3"/>
      <c r="U7" s="3"/>
      <c r="V7" s="3"/>
      <c r="W7" s="3"/>
      <c r="X7" s="3"/>
      <c r="Y7" s="3"/>
      <c r="Z7" s="3"/>
    </row>
    <row r="8" customFormat="false" ht="31.5" hidden="false" customHeight="true" outlineLevel="0" collapsed="false">
      <c r="A8" s="61" t="s">
        <v>686</v>
      </c>
      <c r="B8" s="62" t="s">
        <v>687</v>
      </c>
      <c r="C8" s="3"/>
      <c r="D8" s="3"/>
      <c r="E8" s="3"/>
      <c r="F8" s="3"/>
      <c r="G8" s="3"/>
      <c r="H8" s="3"/>
      <c r="I8" s="3"/>
      <c r="J8" s="3"/>
      <c r="K8" s="3"/>
      <c r="L8" s="3"/>
      <c r="M8" s="3"/>
      <c r="N8" s="3"/>
      <c r="O8" s="3"/>
      <c r="P8" s="3"/>
      <c r="Q8" s="3"/>
      <c r="R8" s="3"/>
      <c r="S8" s="3"/>
      <c r="T8" s="3"/>
      <c r="U8" s="3"/>
      <c r="V8" s="3"/>
      <c r="W8" s="3"/>
      <c r="X8" s="3"/>
      <c r="Y8" s="3"/>
      <c r="Z8" s="3"/>
    </row>
    <row r="9" customFormat="false" ht="31.5" hidden="false" customHeight="true" outlineLevel="0" collapsed="false">
      <c r="A9" s="61" t="s">
        <v>688</v>
      </c>
      <c r="B9" s="62" t="s">
        <v>689</v>
      </c>
      <c r="C9" s="3"/>
      <c r="D9" s="3"/>
      <c r="E9" s="3"/>
      <c r="F9" s="3"/>
      <c r="G9" s="3"/>
      <c r="H9" s="3"/>
      <c r="I9" s="3"/>
      <c r="J9" s="3"/>
      <c r="K9" s="3"/>
      <c r="L9" s="3"/>
      <c r="M9" s="3"/>
      <c r="N9" s="3"/>
      <c r="O9" s="3"/>
      <c r="P9" s="3"/>
      <c r="Q9" s="3"/>
      <c r="R9" s="3"/>
      <c r="S9" s="3"/>
      <c r="T9" s="3"/>
      <c r="U9" s="3"/>
      <c r="V9" s="3"/>
      <c r="W9" s="3"/>
      <c r="X9" s="3"/>
      <c r="Y9" s="3"/>
      <c r="Z9" s="3"/>
    </row>
    <row r="10" customFormat="false" ht="31.5" hidden="false" customHeight="true" outlineLevel="0" collapsed="false">
      <c r="A10" s="61" t="s">
        <v>690</v>
      </c>
      <c r="B10" s="62" t="s">
        <v>691</v>
      </c>
      <c r="C10" s="3"/>
      <c r="D10" s="3"/>
      <c r="E10" s="3"/>
      <c r="F10" s="3"/>
      <c r="G10" s="3"/>
      <c r="H10" s="3"/>
      <c r="I10" s="3"/>
      <c r="J10" s="3"/>
      <c r="K10" s="3"/>
      <c r="L10" s="3"/>
      <c r="M10" s="3"/>
      <c r="N10" s="3"/>
      <c r="O10" s="3"/>
      <c r="P10" s="3"/>
      <c r="Q10" s="3"/>
      <c r="R10" s="3"/>
      <c r="S10" s="3"/>
      <c r="T10" s="3"/>
      <c r="U10" s="3"/>
      <c r="V10" s="3"/>
      <c r="W10" s="3"/>
      <c r="X10" s="3"/>
      <c r="Y10" s="3"/>
      <c r="Z10" s="3"/>
    </row>
    <row r="11" customFormat="false" ht="1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23.25" hidden="false" customHeight="true" outlineLevel="0" collapsed="false">
      <c r="A1001" s="61" t="s">
        <v>692</v>
      </c>
      <c r="B1001" s="62" t="s">
        <v>693</v>
      </c>
    </row>
    <row r="1002" customFormat="false" ht="23.25" hidden="false" customHeight="true" outlineLevel="0" collapsed="false">
      <c r="A1002" s="61" t="s">
        <v>686</v>
      </c>
      <c r="B1002" s="62" t="s">
        <v>694</v>
      </c>
    </row>
    <row r="1003" customFormat="false" ht="34.5" hidden="false" customHeight="true" outlineLevel="0" collapsed="false">
      <c r="A1003" s="61" t="s">
        <v>695</v>
      </c>
      <c r="B1003" s="62" t="s">
        <v>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2026-09-25T13:17:48Z</dcterms:created>
  <dc:creator>openpyxl</dc:creator>
  <dc:description/>
  <dc:language>en-US</dc:language>
  <cp:lastModifiedBy/>
  <dcterms:modified xsi:type="dcterms:W3CDTF">2026-09-30T09:58:47Z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